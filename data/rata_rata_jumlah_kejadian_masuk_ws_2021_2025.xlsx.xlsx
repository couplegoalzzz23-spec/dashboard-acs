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 S U S\Documents\SKRIPSI\Data skripsi\ACS\"/>
    </mc:Choice>
  </mc:AlternateContent>
  <xr:revisionPtr revIDLastSave="0" documentId="13_ncr:1_{EFBB9A1A-B33D-4F4D-BEF7-EFAE1DE5D1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5" i="4" l="1"/>
  <c r="C252" i="12"/>
  <c r="D252" i="12"/>
  <c r="E252" i="12"/>
  <c r="F252" i="12"/>
  <c r="G252" i="12"/>
  <c r="H252" i="12"/>
  <c r="I252" i="12"/>
  <c r="J252" i="12"/>
  <c r="K252" i="12"/>
  <c r="B252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C228" i="12"/>
  <c r="D228" i="12"/>
  <c r="E228" i="12"/>
  <c r="F228" i="12"/>
  <c r="G228" i="12"/>
  <c r="H228" i="12"/>
  <c r="I228" i="12"/>
  <c r="J228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25" i="12"/>
  <c r="B228" i="12"/>
  <c r="J252" i="11"/>
  <c r="C252" i="11"/>
  <c r="D252" i="11"/>
  <c r="E252" i="11"/>
  <c r="F252" i="11"/>
  <c r="G252" i="11"/>
  <c r="H252" i="11"/>
  <c r="I252" i="11"/>
  <c r="K252" i="11"/>
  <c r="B252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C228" i="11"/>
  <c r="D228" i="11"/>
  <c r="E228" i="11"/>
  <c r="F228" i="11"/>
  <c r="G228" i="11"/>
  <c r="H228" i="11"/>
  <c r="I228" i="11"/>
  <c r="J228" i="11"/>
  <c r="K225" i="11"/>
  <c r="B228" i="11"/>
  <c r="C252" i="10"/>
  <c r="D252" i="10"/>
  <c r="E252" i="10"/>
  <c r="F252" i="10"/>
  <c r="G252" i="10"/>
  <c r="H252" i="10"/>
  <c r="I252" i="10"/>
  <c r="J252" i="10"/>
  <c r="K252" i="10"/>
  <c r="B252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C228" i="10"/>
  <c r="D228" i="10"/>
  <c r="E228" i="10"/>
  <c r="F228" i="10"/>
  <c r="G228" i="10"/>
  <c r="H228" i="10"/>
  <c r="I228" i="10"/>
  <c r="J228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25" i="10"/>
  <c r="B228" i="10"/>
  <c r="C252" i="9"/>
  <c r="D252" i="9"/>
  <c r="E252" i="9"/>
  <c r="F252" i="9"/>
  <c r="G252" i="9"/>
  <c r="H252" i="9"/>
  <c r="I252" i="9"/>
  <c r="J252" i="9"/>
  <c r="K252" i="9"/>
  <c r="B252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C228" i="9"/>
  <c r="D228" i="9"/>
  <c r="E228" i="9"/>
  <c r="F228" i="9"/>
  <c r="G228" i="9"/>
  <c r="H228" i="9"/>
  <c r="I228" i="9"/>
  <c r="J228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25" i="9"/>
  <c r="B228" i="9"/>
  <c r="C252" i="8"/>
  <c r="D252" i="8"/>
  <c r="E252" i="8"/>
  <c r="F252" i="8"/>
  <c r="G252" i="8"/>
  <c r="H252" i="8"/>
  <c r="I252" i="8"/>
  <c r="J252" i="8"/>
  <c r="K252" i="8"/>
  <c r="B252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C228" i="8"/>
  <c r="D228" i="8"/>
  <c r="E228" i="8"/>
  <c r="F228" i="8"/>
  <c r="G228" i="8"/>
  <c r="H228" i="8"/>
  <c r="I228" i="8"/>
  <c r="J228" i="8"/>
  <c r="K225" i="8"/>
  <c r="B228" i="8"/>
  <c r="K252" i="7"/>
  <c r="C252" i="7"/>
  <c r="D252" i="7"/>
  <c r="E252" i="7"/>
  <c r="F252" i="7"/>
  <c r="G252" i="7"/>
  <c r="H252" i="7"/>
  <c r="I252" i="7"/>
  <c r="J252" i="7"/>
  <c r="B252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26" i="7"/>
  <c r="C228" i="7"/>
  <c r="D228" i="7"/>
  <c r="E228" i="7"/>
  <c r="F228" i="7"/>
  <c r="G228" i="7"/>
  <c r="H228" i="7"/>
  <c r="I228" i="7"/>
  <c r="J228" i="7"/>
  <c r="K225" i="7"/>
  <c r="B228" i="7"/>
  <c r="C252" i="6"/>
  <c r="D252" i="6"/>
  <c r="E252" i="6"/>
  <c r="F252" i="6"/>
  <c r="G252" i="6"/>
  <c r="H252" i="6"/>
  <c r="I252" i="6"/>
  <c r="J252" i="6"/>
  <c r="K252" i="6"/>
  <c r="B252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C228" i="6"/>
  <c r="D228" i="6"/>
  <c r="E228" i="6"/>
  <c r="F228" i="6"/>
  <c r="G228" i="6"/>
  <c r="H228" i="6"/>
  <c r="I228" i="6"/>
  <c r="J228" i="6"/>
  <c r="K225" i="6"/>
  <c r="B228" i="6"/>
  <c r="B228" i="1"/>
  <c r="K228" i="5"/>
  <c r="K230" i="5"/>
  <c r="K232" i="5"/>
  <c r="K234" i="5"/>
  <c r="K236" i="5"/>
  <c r="K238" i="5"/>
  <c r="K240" i="5"/>
  <c r="K242" i="5"/>
  <c r="K244" i="5"/>
  <c r="K246" i="5"/>
  <c r="K248" i="5"/>
  <c r="K250" i="5"/>
  <c r="J230" i="5"/>
  <c r="J232" i="5"/>
  <c r="J234" i="5"/>
  <c r="J236" i="5"/>
  <c r="J238" i="5"/>
  <c r="J240" i="5"/>
  <c r="J242" i="5"/>
  <c r="J244" i="5"/>
  <c r="J246" i="5"/>
  <c r="J248" i="5"/>
  <c r="J250" i="5"/>
  <c r="I230" i="5"/>
  <c r="I232" i="5"/>
  <c r="I234" i="5"/>
  <c r="I236" i="5"/>
  <c r="I238" i="5"/>
  <c r="I240" i="5"/>
  <c r="I242" i="5"/>
  <c r="I244" i="5"/>
  <c r="I246" i="5"/>
  <c r="I248" i="5"/>
  <c r="I250" i="5"/>
  <c r="H230" i="5"/>
  <c r="H232" i="5"/>
  <c r="H234" i="5"/>
  <c r="H236" i="5"/>
  <c r="H238" i="5"/>
  <c r="H240" i="5"/>
  <c r="H242" i="5"/>
  <c r="H244" i="5"/>
  <c r="H246" i="5"/>
  <c r="H248" i="5"/>
  <c r="H250" i="5"/>
  <c r="G230" i="5"/>
  <c r="G232" i="5"/>
  <c r="G234" i="5"/>
  <c r="G236" i="5"/>
  <c r="G238" i="5"/>
  <c r="G240" i="5"/>
  <c r="G242" i="5"/>
  <c r="G244" i="5"/>
  <c r="G246" i="5"/>
  <c r="G248" i="5"/>
  <c r="G250" i="5"/>
  <c r="F230" i="5"/>
  <c r="F232" i="5"/>
  <c r="F234" i="5"/>
  <c r="F236" i="5"/>
  <c r="F238" i="5"/>
  <c r="F240" i="5"/>
  <c r="F242" i="5"/>
  <c r="F244" i="5"/>
  <c r="F246" i="5"/>
  <c r="F248" i="5"/>
  <c r="F250" i="5"/>
  <c r="E230" i="5"/>
  <c r="E232" i="5"/>
  <c r="E234" i="5"/>
  <c r="E236" i="5"/>
  <c r="E238" i="5"/>
  <c r="E240" i="5"/>
  <c r="E242" i="5"/>
  <c r="E244" i="5"/>
  <c r="E246" i="5"/>
  <c r="E248" i="5"/>
  <c r="E250" i="5"/>
  <c r="D230" i="5"/>
  <c r="D232" i="5"/>
  <c r="D234" i="5"/>
  <c r="D236" i="5"/>
  <c r="D238" i="5"/>
  <c r="D240" i="5"/>
  <c r="D242" i="5"/>
  <c r="D244" i="5"/>
  <c r="D246" i="5"/>
  <c r="D248" i="5"/>
  <c r="D250" i="5"/>
  <c r="C230" i="5"/>
  <c r="C232" i="5"/>
  <c r="C234" i="5"/>
  <c r="C236" i="5"/>
  <c r="C238" i="5"/>
  <c r="C240" i="5"/>
  <c r="C242" i="5"/>
  <c r="C244" i="5"/>
  <c r="C246" i="5"/>
  <c r="C248" i="5"/>
  <c r="C250" i="5"/>
  <c r="B230" i="5"/>
  <c r="B232" i="5"/>
  <c r="B234" i="5"/>
  <c r="B236" i="5"/>
  <c r="B238" i="5"/>
  <c r="B240" i="5"/>
  <c r="B242" i="5"/>
  <c r="B244" i="5"/>
  <c r="B246" i="5"/>
  <c r="B248" i="5"/>
  <c r="B250" i="5"/>
  <c r="C228" i="5"/>
  <c r="D228" i="5"/>
  <c r="E228" i="5"/>
  <c r="F228" i="5"/>
  <c r="G228" i="5"/>
  <c r="H228" i="5"/>
  <c r="I228" i="5"/>
  <c r="J228" i="5"/>
  <c r="K225" i="5"/>
  <c r="B228" i="5"/>
  <c r="J230" i="4"/>
  <c r="J232" i="4"/>
  <c r="J234" i="4"/>
  <c r="J236" i="4"/>
  <c r="J238" i="4"/>
  <c r="J240" i="4"/>
  <c r="J242" i="4"/>
  <c r="J244" i="4"/>
  <c r="J246" i="4"/>
  <c r="J248" i="4"/>
  <c r="J250" i="4"/>
  <c r="I230" i="4"/>
  <c r="I232" i="4"/>
  <c r="I234" i="4"/>
  <c r="I236" i="4"/>
  <c r="I238" i="4"/>
  <c r="I240" i="4"/>
  <c r="I242" i="4"/>
  <c r="I244" i="4"/>
  <c r="I246" i="4"/>
  <c r="I248" i="4"/>
  <c r="I250" i="4"/>
  <c r="H230" i="4"/>
  <c r="H232" i="4"/>
  <c r="H234" i="4"/>
  <c r="H236" i="4"/>
  <c r="H238" i="4"/>
  <c r="H240" i="4"/>
  <c r="H242" i="4"/>
  <c r="H244" i="4"/>
  <c r="H246" i="4"/>
  <c r="H248" i="4"/>
  <c r="H250" i="4"/>
  <c r="G230" i="4"/>
  <c r="G232" i="4"/>
  <c r="G234" i="4"/>
  <c r="G236" i="4"/>
  <c r="G238" i="4"/>
  <c r="G240" i="4"/>
  <c r="G242" i="4"/>
  <c r="G244" i="4"/>
  <c r="G246" i="4"/>
  <c r="G248" i="4"/>
  <c r="G250" i="4"/>
  <c r="F230" i="4"/>
  <c r="F232" i="4"/>
  <c r="F234" i="4"/>
  <c r="F236" i="4"/>
  <c r="F238" i="4"/>
  <c r="F240" i="4"/>
  <c r="F242" i="4"/>
  <c r="F244" i="4"/>
  <c r="F246" i="4"/>
  <c r="F248" i="4"/>
  <c r="F250" i="4"/>
  <c r="E230" i="4"/>
  <c r="E232" i="4"/>
  <c r="E234" i="4"/>
  <c r="E236" i="4"/>
  <c r="E238" i="4"/>
  <c r="E240" i="4"/>
  <c r="E242" i="4"/>
  <c r="E244" i="4"/>
  <c r="E246" i="4"/>
  <c r="E248" i="4"/>
  <c r="E250" i="4"/>
  <c r="D230" i="4"/>
  <c r="D232" i="4"/>
  <c r="D234" i="4"/>
  <c r="D236" i="4"/>
  <c r="D238" i="4"/>
  <c r="D240" i="4"/>
  <c r="D242" i="4"/>
  <c r="D244" i="4"/>
  <c r="D246" i="4"/>
  <c r="D248" i="4"/>
  <c r="D250" i="4"/>
  <c r="C230" i="4"/>
  <c r="C232" i="4"/>
  <c r="C234" i="4"/>
  <c r="C236" i="4"/>
  <c r="C238" i="4"/>
  <c r="C240" i="4"/>
  <c r="C242" i="4"/>
  <c r="C244" i="4"/>
  <c r="C246" i="4"/>
  <c r="C248" i="4"/>
  <c r="C250" i="4"/>
  <c r="B230" i="4"/>
  <c r="B232" i="4"/>
  <c r="B234" i="4"/>
  <c r="B236" i="4"/>
  <c r="B238" i="4"/>
  <c r="B240" i="4"/>
  <c r="B242" i="4"/>
  <c r="B244" i="4"/>
  <c r="B246" i="4"/>
  <c r="B248" i="4"/>
  <c r="B250" i="4"/>
  <c r="C228" i="4"/>
  <c r="D228" i="4"/>
  <c r="E228" i="4"/>
  <c r="F228" i="4"/>
  <c r="G228" i="4"/>
  <c r="H228" i="4"/>
  <c r="I228" i="4"/>
  <c r="J228" i="4"/>
  <c r="K228" i="4"/>
  <c r="K230" i="4"/>
  <c r="K232" i="4"/>
  <c r="K234" i="4"/>
  <c r="K236" i="4"/>
  <c r="K238" i="4"/>
  <c r="K240" i="4"/>
  <c r="K242" i="4"/>
  <c r="K244" i="4"/>
  <c r="K246" i="4"/>
  <c r="K248" i="4"/>
  <c r="K250" i="4"/>
  <c r="B228" i="4"/>
  <c r="C252" i="3"/>
  <c r="D252" i="3"/>
  <c r="E252" i="3"/>
  <c r="F252" i="3"/>
  <c r="G252" i="3"/>
  <c r="H252" i="3"/>
  <c r="I252" i="3"/>
  <c r="J252" i="3"/>
  <c r="K252" i="3"/>
  <c r="K252" i="2"/>
  <c r="B252" i="3"/>
  <c r="J230" i="3"/>
  <c r="J232" i="3"/>
  <c r="J234" i="3"/>
  <c r="J236" i="3"/>
  <c r="J238" i="3"/>
  <c r="J240" i="3"/>
  <c r="J242" i="3"/>
  <c r="J244" i="3"/>
  <c r="J246" i="3"/>
  <c r="J248" i="3"/>
  <c r="J250" i="3"/>
  <c r="I230" i="3"/>
  <c r="I232" i="3"/>
  <c r="I234" i="3"/>
  <c r="I236" i="3"/>
  <c r="I238" i="3"/>
  <c r="I240" i="3"/>
  <c r="I242" i="3"/>
  <c r="I244" i="3"/>
  <c r="I246" i="3"/>
  <c r="I248" i="3"/>
  <c r="I250" i="3"/>
  <c r="H230" i="3"/>
  <c r="H232" i="3"/>
  <c r="H234" i="3"/>
  <c r="H236" i="3"/>
  <c r="H238" i="3"/>
  <c r="H240" i="3"/>
  <c r="H242" i="3"/>
  <c r="H244" i="3"/>
  <c r="H246" i="3"/>
  <c r="H248" i="3"/>
  <c r="H250" i="3"/>
  <c r="G230" i="3"/>
  <c r="G232" i="3"/>
  <c r="G234" i="3"/>
  <c r="G236" i="3"/>
  <c r="G238" i="3"/>
  <c r="G240" i="3"/>
  <c r="G242" i="3"/>
  <c r="G244" i="3"/>
  <c r="G246" i="3"/>
  <c r="G248" i="3"/>
  <c r="G250" i="3"/>
  <c r="F230" i="3"/>
  <c r="F232" i="3"/>
  <c r="F234" i="3"/>
  <c r="F236" i="3"/>
  <c r="F238" i="3"/>
  <c r="F240" i="3"/>
  <c r="F242" i="3"/>
  <c r="F244" i="3"/>
  <c r="F246" i="3"/>
  <c r="F248" i="3"/>
  <c r="F250" i="3"/>
  <c r="E230" i="3"/>
  <c r="E232" i="3"/>
  <c r="E234" i="3"/>
  <c r="E236" i="3"/>
  <c r="E238" i="3"/>
  <c r="E240" i="3"/>
  <c r="E242" i="3"/>
  <c r="E244" i="3"/>
  <c r="E246" i="3"/>
  <c r="E248" i="3"/>
  <c r="E250" i="3"/>
  <c r="D230" i="3"/>
  <c r="D232" i="3"/>
  <c r="D234" i="3"/>
  <c r="D236" i="3"/>
  <c r="D238" i="3"/>
  <c r="D240" i="3"/>
  <c r="D242" i="3"/>
  <c r="D244" i="3"/>
  <c r="D246" i="3"/>
  <c r="D248" i="3"/>
  <c r="D250" i="3"/>
  <c r="C230" i="3"/>
  <c r="C232" i="3"/>
  <c r="C234" i="3"/>
  <c r="C236" i="3"/>
  <c r="C238" i="3"/>
  <c r="C240" i="3"/>
  <c r="C242" i="3"/>
  <c r="C244" i="3"/>
  <c r="C246" i="3"/>
  <c r="C248" i="3"/>
  <c r="C250" i="3"/>
  <c r="K228" i="3"/>
  <c r="K230" i="3"/>
  <c r="K232" i="3"/>
  <c r="K234" i="3"/>
  <c r="K236" i="3"/>
  <c r="K238" i="3"/>
  <c r="K240" i="3"/>
  <c r="K242" i="3"/>
  <c r="K244" i="3"/>
  <c r="K246" i="3"/>
  <c r="K248" i="3"/>
  <c r="K250" i="3"/>
  <c r="K225" i="3"/>
  <c r="C228" i="3"/>
  <c r="D228" i="3"/>
  <c r="E228" i="3"/>
  <c r="F228" i="3"/>
  <c r="G228" i="3"/>
  <c r="H228" i="3"/>
  <c r="I228" i="3"/>
  <c r="J228" i="3"/>
  <c r="B230" i="3"/>
  <c r="B232" i="3"/>
  <c r="B234" i="3"/>
  <c r="B236" i="3"/>
  <c r="B238" i="3"/>
  <c r="B240" i="3"/>
  <c r="B242" i="3"/>
  <c r="B244" i="3"/>
  <c r="B246" i="3"/>
  <c r="B248" i="3"/>
  <c r="B250" i="3"/>
  <c r="B228" i="3"/>
  <c r="C252" i="2"/>
  <c r="D252" i="2"/>
  <c r="E252" i="2"/>
  <c r="F252" i="2"/>
  <c r="G252" i="2"/>
  <c r="H252" i="2"/>
  <c r="I252" i="2"/>
  <c r="J252" i="2"/>
  <c r="B252" i="2"/>
  <c r="B230" i="2"/>
  <c r="C230" i="2"/>
  <c r="D230" i="2"/>
  <c r="E230" i="2"/>
  <c r="F230" i="2"/>
  <c r="G230" i="2"/>
  <c r="H230" i="2"/>
  <c r="I230" i="2"/>
  <c r="J230" i="2"/>
  <c r="K230" i="2"/>
  <c r="K228" i="2"/>
  <c r="K232" i="2"/>
  <c r="K234" i="2"/>
  <c r="K236" i="2"/>
  <c r="K238" i="2"/>
  <c r="K240" i="2"/>
  <c r="K242" i="2"/>
  <c r="K244" i="2"/>
  <c r="K246" i="2"/>
  <c r="K248" i="2"/>
  <c r="K250" i="2"/>
  <c r="J232" i="2"/>
  <c r="J234" i="2"/>
  <c r="J236" i="2"/>
  <c r="J238" i="2"/>
  <c r="J240" i="2"/>
  <c r="J242" i="2"/>
  <c r="J244" i="2"/>
  <c r="J246" i="2"/>
  <c r="J248" i="2"/>
  <c r="J250" i="2"/>
  <c r="I232" i="2"/>
  <c r="I234" i="2"/>
  <c r="I236" i="2"/>
  <c r="I238" i="2"/>
  <c r="I240" i="2"/>
  <c r="I242" i="2"/>
  <c r="I244" i="2"/>
  <c r="I246" i="2"/>
  <c r="I248" i="2"/>
  <c r="I250" i="2"/>
  <c r="H232" i="2"/>
  <c r="H234" i="2"/>
  <c r="H236" i="2"/>
  <c r="H238" i="2"/>
  <c r="H240" i="2"/>
  <c r="H242" i="2"/>
  <c r="H244" i="2"/>
  <c r="H246" i="2"/>
  <c r="H248" i="2"/>
  <c r="H250" i="2"/>
  <c r="G232" i="2"/>
  <c r="G234" i="2"/>
  <c r="G236" i="2"/>
  <c r="G238" i="2"/>
  <c r="G240" i="2"/>
  <c r="G242" i="2"/>
  <c r="G244" i="2"/>
  <c r="G246" i="2"/>
  <c r="G248" i="2"/>
  <c r="G250" i="2"/>
  <c r="F232" i="2"/>
  <c r="F234" i="2"/>
  <c r="F236" i="2"/>
  <c r="F238" i="2"/>
  <c r="F240" i="2"/>
  <c r="F242" i="2"/>
  <c r="F244" i="2"/>
  <c r="F246" i="2"/>
  <c r="F248" i="2"/>
  <c r="F250" i="2"/>
  <c r="E232" i="2"/>
  <c r="E234" i="2"/>
  <c r="E236" i="2"/>
  <c r="E238" i="2"/>
  <c r="E240" i="2"/>
  <c r="E242" i="2"/>
  <c r="E244" i="2"/>
  <c r="E246" i="2"/>
  <c r="E248" i="2"/>
  <c r="E250" i="2"/>
  <c r="D232" i="2"/>
  <c r="D234" i="2"/>
  <c r="D236" i="2"/>
  <c r="D238" i="2"/>
  <c r="D240" i="2"/>
  <c r="D242" i="2"/>
  <c r="D244" i="2"/>
  <c r="D246" i="2"/>
  <c r="D248" i="2"/>
  <c r="D250" i="2"/>
  <c r="C232" i="2"/>
  <c r="C234" i="2"/>
  <c r="C236" i="2"/>
  <c r="C238" i="2"/>
  <c r="C240" i="2"/>
  <c r="C242" i="2"/>
  <c r="C244" i="2"/>
  <c r="C246" i="2"/>
  <c r="C248" i="2"/>
  <c r="C250" i="2"/>
  <c r="B232" i="2"/>
  <c r="B234" i="2"/>
  <c r="B236" i="2"/>
  <c r="B238" i="2"/>
  <c r="B240" i="2"/>
  <c r="B242" i="2"/>
  <c r="B244" i="2"/>
  <c r="B246" i="2"/>
  <c r="B248" i="2"/>
  <c r="B250" i="2"/>
  <c r="K225" i="2"/>
  <c r="C228" i="2"/>
  <c r="D228" i="2"/>
  <c r="E228" i="2"/>
  <c r="F228" i="2"/>
  <c r="G228" i="2"/>
  <c r="H228" i="2"/>
  <c r="I228" i="2"/>
  <c r="J228" i="2"/>
  <c r="B228" i="2"/>
  <c r="J230" i="1"/>
  <c r="J232" i="1"/>
  <c r="J234" i="1"/>
  <c r="J236" i="1"/>
  <c r="J238" i="1"/>
  <c r="J240" i="1"/>
  <c r="J242" i="1"/>
  <c r="J244" i="1"/>
  <c r="J246" i="1"/>
  <c r="J248" i="1"/>
  <c r="J250" i="1"/>
  <c r="I230" i="1"/>
  <c r="I232" i="1"/>
  <c r="I234" i="1"/>
  <c r="I236" i="1"/>
  <c r="I238" i="1"/>
  <c r="I240" i="1"/>
  <c r="I242" i="1"/>
  <c r="I244" i="1"/>
  <c r="I246" i="1"/>
  <c r="I248" i="1"/>
  <c r="I250" i="1"/>
  <c r="H230" i="1"/>
  <c r="H232" i="1"/>
  <c r="H234" i="1"/>
  <c r="H236" i="1"/>
  <c r="H238" i="1"/>
  <c r="H240" i="1"/>
  <c r="H242" i="1"/>
  <c r="H244" i="1"/>
  <c r="H246" i="1"/>
  <c r="H248" i="1"/>
  <c r="H250" i="1"/>
  <c r="G230" i="1"/>
  <c r="G232" i="1"/>
  <c r="G234" i="1"/>
  <c r="G236" i="1"/>
  <c r="G238" i="1"/>
  <c r="G240" i="1"/>
  <c r="G242" i="1"/>
  <c r="G244" i="1"/>
  <c r="G246" i="1"/>
  <c r="G248" i="1"/>
  <c r="G250" i="1"/>
  <c r="F230" i="1"/>
  <c r="F232" i="1"/>
  <c r="F234" i="1"/>
  <c r="F236" i="1"/>
  <c r="F238" i="1"/>
  <c r="F240" i="1"/>
  <c r="F242" i="1"/>
  <c r="F244" i="1"/>
  <c r="F246" i="1"/>
  <c r="F248" i="1"/>
  <c r="F250" i="1"/>
  <c r="E230" i="1"/>
  <c r="E232" i="1"/>
  <c r="E234" i="1"/>
  <c r="E236" i="1"/>
  <c r="E238" i="1"/>
  <c r="E240" i="1"/>
  <c r="E242" i="1"/>
  <c r="E244" i="1"/>
  <c r="E246" i="1"/>
  <c r="E248" i="1"/>
  <c r="E250" i="1"/>
  <c r="D230" i="1"/>
  <c r="D232" i="1"/>
  <c r="D234" i="1"/>
  <c r="D236" i="1"/>
  <c r="D238" i="1"/>
  <c r="D240" i="1"/>
  <c r="D242" i="1"/>
  <c r="D244" i="1"/>
  <c r="D246" i="1"/>
  <c r="D248" i="1"/>
  <c r="D250" i="1"/>
  <c r="C230" i="1"/>
  <c r="C232" i="1"/>
  <c r="C234" i="1"/>
  <c r="C236" i="1"/>
  <c r="C238" i="1"/>
  <c r="C240" i="1"/>
  <c r="C242" i="1"/>
  <c r="C244" i="1"/>
  <c r="C246" i="1"/>
  <c r="C248" i="1"/>
  <c r="C250" i="1"/>
  <c r="B230" i="1"/>
  <c r="B232" i="1"/>
  <c r="B234" i="1"/>
  <c r="B236" i="1"/>
  <c r="B238" i="1"/>
  <c r="B240" i="1"/>
  <c r="B242" i="1"/>
  <c r="B244" i="1"/>
  <c r="B246" i="1"/>
  <c r="B248" i="1"/>
  <c r="B250" i="1"/>
  <c r="C228" i="1"/>
  <c r="D228" i="1"/>
  <c r="E228" i="1"/>
  <c r="F228" i="1"/>
  <c r="G228" i="1"/>
  <c r="H228" i="1"/>
  <c r="I228" i="1"/>
  <c r="J228" i="1"/>
  <c r="K56" i="1"/>
  <c r="K58" i="1"/>
  <c r="K60" i="1"/>
  <c r="K62" i="1"/>
  <c r="K64" i="1"/>
  <c r="K66" i="1"/>
  <c r="K68" i="1"/>
  <c r="K70" i="1"/>
  <c r="K72" i="1"/>
  <c r="K74" i="1"/>
  <c r="K76" i="1"/>
  <c r="K78" i="1"/>
  <c r="B80" i="1"/>
  <c r="C80" i="1"/>
  <c r="D80" i="1"/>
  <c r="E80" i="1"/>
  <c r="F80" i="1"/>
  <c r="G80" i="1"/>
  <c r="H80" i="1"/>
  <c r="I80" i="1"/>
  <c r="J80" i="1"/>
  <c r="C252" i="5" l="1"/>
  <c r="D252" i="5"/>
  <c r="E252" i="5"/>
  <c r="F252" i="5"/>
  <c r="G252" i="5"/>
  <c r="J252" i="5"/>
  <c r="B252" i="5"/>
  <c r="I252" i="5"/>
  <c r="H252" i="5"/>
  <c r="K252" i="5"/>
  <c r="K252" i="4"/>
  <c r="F252" i="4"/>
  <c r="G252" i="4"/>
  <c r="J252" i="4"/>
  <c r="C252" i="4"/>
  <c r="H252" i="4"/>
  <c r="D252" i="4"/>
  <c r="E252" i="4"/>
  <c r="B252" i="4"/>
  <c r="I252" i="4"/>
  <c r="K230" i="1"/>
  <c r="K246" i="1"/>
  <c r="K234" i="1"/>
  <c r="K244" i="1"/>
  <c r="K232" i="1"/>
  <c r="K238" i="1"/>
  <c r="K240" i="1"/>
  <c r="K250" i="1"/>
  <c r="K236" i="1"/>
  <c r="K242" i="1"/>
  <c r="K248" i="1"/>
  <c r="K228" i="1"/>
  <c r="J252" i="1"/>
  <c r="I252" i="1"/>
  <c r="H252" i="1"/>
  <c r="G252" i="1"/>
  <c r="F252" i="1"/>
  <c r="E252" i="1"/>
  <c r="D252" i="1"/>
  <c r="C252" i="1"/>
  <c r="B252" i="1"/>
  <c r="K53" i="1"/>
  <c r="K80" i="1" l="1"/>
  <c r="K225" i="1"/>
  <c r="K252" i="1" s="1"/>
</calcChain>
</file>

<file path=xl/sharedStrings.xml><?xml version="1.0" encoding="utf-8"?>
<sst xmlns="http://schemas.openxmlformats.org/spreadsheetml/2006/main" count="2665" uniqueCount="131">
  <si>
    <t>AERODROME CLIMATOLOGICAL SUMMARY</t>
  </si>
  <si>
    <t>TABULAR FORM MODEL D</t>
  </si>
  <si>
    <t>MONTH : JANUARI 2021</t>
  </si>
  <si>
    <t>TOTAL NUMBER OF OBSERVATION : 720</t>
  </si>
  <si>
    <t>OBSERVATION TIME : 24 HRS</t>
  </si>
  <si>
    <t>LATITUDE : 0.28N LONGITUDE : 101.28 E</t>
  </si>
  <si>
    <t>ELEVATION ABOVE MSL : 27 M</t>
  </si>
  <si>
    <t>PREQUENCES (PERCENT) OF CONCURRENT WND DIRECTION ( IN 30 SECTOR)</t>
  </si>
  <si>
    <t>AND SPEED (IN KNOTS) WITHN SPECIFED RANGERS</t>
  </si>
  <si>
    <t>WIND</t>
  </si>
  <si>
    <t>WIND SPEED</t>
  </si>
  <si>
    <t>DIRECTION</t>
  </si>
  <si>
    <t>1 - 5</t>
  </si>
  <si>
    <t>6 - 10</t>
  </si>
  <si>
    <t>11 - 15</t>
  </si>
  <si>
    <t>16 - 20</t>
  </si>
  <si>
    <t>21 - 25</t>
  </si>
  <si>
    <t>26 - 30</t>
  </si>
  <si>
    <t>31 - 35</t>
  </si>
  <si>
    <t>36 - 45</t>
  </si>
  <si>
    <t>&gt; 45</t>
  </si>
  <si>
    <t>TOTAL</t>
  </si>
  <si>
    <t>CALM</t>
  </si>
  <si>
    <t>VARIABLE</t>
  </si>
  <si>
    <t>35 - 36 - 01</t>
  </si>
  <si>
    <t>02 - 03- 04</t>
  </si>
  <si>
    <t>05 - 06 - 07</t>
  </si>
  <si>
    <t>08 - 09 - 10</t>
  </si>
  <si>
    <t>11 - 12 - 13</t>
  </si>
  <si>
    <t>14 - 15 - 16</t>
  </si>
  <si>
    <t>17 - 18 - 19</t>
  </si>
  <si>
    <t>20 - 21 - 22</t>
  </si>
  <si>
    <t>23 - 24 - 25</t>
  </si>
  <si>
    <t>26 - 27 - 28</t>
  </si>
  <si>
    <t>29 - 30 - 31</t>
  </si>
  <si>
    <t>32 - 33 - 34</t>
  </si>
  <si>
    <t>MONTH : JANUARI 2023</t>
  </si>
  <si>
    <t>MONTH : JANUARI 2024</t>
  </si>
  <si>
    <t>MONTH : JANUARI 2025</t>
  </si>
  <si>
    <t>TOTAL NUMBER OF OBSERVATION : 744</t>
  </si>
  <si>
    <t>MONTH : FEBRUARI 2021</t>
  </si>
  <si>
    <t>MONTH : FEBRUARI 2022</t>
  </si>
  <si>
    <t>MONTH : FEBRUARI 2023</t>
  </si>
  <si>
    <t>MONTH : FEBRUARI 2024</t>
  </si>
  <si>
    <t>MONTH : FEBRUARI 2025</t>
  </si>
  <si>
    <t>TOTAL NUMBER OF OBSERVATION : 672</t>
  </si>
  <si>
    <t>MONTH : MARET 2021</t>
  </si>
  <si>
    <t>MONTH : MARET 2022</t>
  </si>
  <si>
    <t>MONTH : MARET 2023</t>
  </si>
  <si>
    <t>MONTH : MARET 2024</t>
  </si>
  <si>
    <t>MONTH : APRIL 2021</t>
  </si>
  <si>
    <t>MONTH : APRIL 2022</t>
  </si>
  <si>
    <t>MONTH : APRIL 2023</t>
  </si>
  <si>
    <t>MONTH : APRIL 2024</t>
  </si>
  <si>
    <t>MONTH : MEI 2021</t>
  </si>
  <si>
    <t>MONTH : M E I 2022</t>
  </si>
  <si>
    <t>MONTH : M E I 2023</t>
  </si>
  <si>
    <t>MONTH : M E I 2024</t>
  </si>
  <si>
    <t>MONTH : JUNI 2021</t>
  </si>
  <si>
    <t>MONTH : JUNI 2022</t>
  </si>
  <si>
    <t>MONTH : JUNI 2023</t>
  </si>
  <si>
    <t>MONTH : JUNI 2024</t>
  </si>
  <si>
    <t>MONTH : JULI 2021</t>
  </si>
  <si>
    <t>MONTH : JULI 2022</t>
  </si>
  <si>
    <t>MONTH : JULI 2023</t>
  </si>
  <si>
    <t>MONTH : JULI 2024</t>
  </si>
  <si>
    <t>MONTH : JULI 2025</t>
  </si>
  <si>
    <t>MONTH : AGUSTUS 2021</t>
  </si>
  <si>
    <t>MONTH : AGUSTUS 2022</t>
  </si>
  <si>
    <t>MONTH : AGUSTUS 2023</t>
  </si>
  <si>
    <t>MONTH : AGUSTUS 2024</t>
  </si>
  <si>
    <t>MONTH : AGUSTUS 2025</t>
  </si>
  <si>
    <t>MONTH : SEPTEMBER 2021</t>
  </si>
  <si>
    <t>MONTH : SEPTEMBER 2022</t>
  </si>
  <si>
    <t>MONTH : SEPTEMBER 2023</t>
  </si>
  <si>
    <t>MONTH : SEPTEMBER 2024</t>
  </si>
  <si>
    <t>MONTH : SEPTEMBER 2025</t>
  </si>
  <si>
    <t>MONTH : OKTOBER 2021</t>
  </si>
  <si>
    <t>MONTH : OKTOBER 2022</t>
  </si>
  <si>
    <t>MONTH : OKTOBER 2023</t>
  </si>
  <si>
    <t>MONTH : OKTOBER 2024</t>
  </si>
  <si>
    <t>MONTH : OKTOBER 2025</t>
  </si>
  <si>
    <t>MONTH : DESEMBER 2021</t>
  </si>
  <si>
    <t>MONTH : DESEMBER 2022</t>
  </si>
  <si>
    <t>MONTH : DESEMBER 2023</t>
  </si>
  <si>
    <t>MONTH : DESEMBER 2024</t>
  </si>
  <si>
    <t>MONTH : DESEMBER 2025</t>
  </si>
  <si>
    <t>MONTH : JANUARI 2021-2025</t>
  </si>
  <si>
    <t>LATITUDE : 0.28N  LONGITUDE : 101.28 E</t>
  </si>
  <si>
    <t xml:space="preserve"> </t>
  </si>
  <si>
    <t xml:space="preserve"> 1 - 5</t>
  </si>
  <si>
    <t xml:space="preserve"> 6 - 10</t>
  </si>
  <si>
    <t xml:space="preserve"> 11 - 15</t>
  </si>
  <si>
    <t xml:space="preserve"> 16 - 20</t>
  </si>
  <si>
    <t xml:space="preserve"> 21 - 25</t>
  </si>
  <si>
    <t xml:space="preserve"> 26 - 30</t>
  </si>
  <si>
    <t xml:space="preserve"> 31 - 35</t>
  </si>
  <si>
    <t xml:space="preserve"> 36 - 45</t>
  </si>
  <si>
    <t xml:space="preserve"> &gt; 45</t>
  </si>
  <si>
    <t xml:space="preserve"> TOTAL</t>
  </si>
  <si>
    <t xml:space="preserve"> 35 - 36 - 01</t>
  </si>
  <si>
    <t xml:space="preserve"> 02 - 03- 04</t>
  </si>
  <si>
    <t xml:space="preserve"> 05 - 06 - 07</t>
  </si>
  <si>
    <t xml:space="preserve"> 08 - 09 - 10</t>
  </si>
  <si>
    <t xml:space="preserve"> 11 - 12 - 13</t>
  </si>
  <si>
    <t xml:space="preserve"> 17 - 18 - 19</t>
  </si>
  <si>
    <t xml:space="preserve"> 20 - 21 - 22</t>
  </si>
  <si>
    <t xml:space="preserve"> 23 - 24 - 25</t>
  </si>
  <si>
    <t xml:space="preserve"> 26 - 27 - 28</t>
  </si>
  <si>
    <t xml:space="preserve"> 29 - 30 - 31</t>
  </si>
  <si>
    <t>MONTH  : JANUARI 2022</t>
  </si>
  <si>
    <t>MONTH : FEBRUARI 2021-2025</t>
  </si>
  <si>
    <t>MONTH : MARET 2025</t>
  </si>
  <si>
    <t>MONTH : MARET 2021-2025</t>
  </si>
  <si>
    <t>MONTH : APRIL 2025</t>
  </si>
  <si>
    <t>MONTH : APRIL 2021-2025</t>
  </si>
  <si>
    <t>MONTH : M E I 2025</t>
  </si>
  <si>
    <t>MONTH : JUNI 2025</t>
  </si>
  <si>
    <t>MONTH : JUNI 2021-2025</t>
  </si>
  <si>
    <t>MONTH : JULI 2021-2025</t>
  </si>
  <si>
    <t>MONTH : AGUSTUS 2021-2025</t>
  </si>
  <si>
    <t>MONTH : SEPTEMBER 2021-2025</t>
  </si>
  <si>
    <t>MONTH : OKTOBER 2021-2025</t>
  </si>
  <si>
    <t>MONTH : NOVEMBER 2021</t>
  </si>
  <si>
    <t>MONTH : NOVEMBER 2022</t>
  </si>
  <si>
    <t>MONTH : NOVEMBER 2023</t>
  </si>
  <si>
    <t>MONTH : NOVEMBER 2025</t>
  </si>
  <si>
    <t>MONTH : NOVEMBER 2021-2025</t>
  </si>
  <si>
    <t>MONTH : NOVEMBER 2024</t>
  </si>
  <si>
    <t>MONTH : DESEMBER 2021-2025</t>
  </si>
  <si>
    <t>MONTH : M E I 2021-2025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</si>
</sst>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rgb="FF000000"/>
      <name val="Arial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9"/>
      <color theme="1"/>
      <name val="Cambria"/>
      <family val="1"/>
    </font>
    <font>
      <sz val="10"/>
      <name val="Arial"/>
      <family val="2"/>
    </font>
    <font>
      <sz val="10"/>
      <color theme="1"/>
      <name val="Cambria"/>
      <family val="1"/>
    </font>
    <font>
      <sz val="11"/>
      <color rgb="FF000000"/>
      <name val="Calibri"/>
      <family val="2"/>
    </font>
    <font>
      <b/>
      <sz val="11"/>
      <name val="Cambria"/>
      <family val="1"/>
    </font>
    <font>
      <sz val="11"/>
      <name val="Cambria"/>
      <family val="1"/>
    </font>
    <font>
      <sz val="9"/>
      <name val="Cambria"/>
      <family val="1"/>
    </font>
    <font>
      <sz val="10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/>
  </cellStyleXfs>
  <cellXfs count="9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1" fillId="2" borderId="7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4" borderId="11" xfId="0" applyFont="1" applyFill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2" xfId="0" applyFont="1" applyBorder="1"/>
    <xf numFmtId="0" fontId="6" fillId="0" borderId="0" xfId="0" applyFont="1"/>
    <xf numFmtId="0" fontId="5" fillId="5" borderId="11" xfId="0" applyFont="1" applyFill="1" applyBorder="1"/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1" fillId="6" borderId="7" xfId="0" applyFont="1" applyFill="1" applyBorder="1"/>
    <xf numFmtId="0" fontId="1" fillId="6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4" borderId="11" xfId="0" applyFont="1" applyFill="1" applyBorder="1"/>
    <xf numFmtId="0" fontId="2" fillId="0" borderId="12" xfId="0" applyFont="1" applyBorder="1" applyAlignment="1">
      <alignment horizontal="center"/>
    </xf>
    <xf numFmtId="0" fontId="2" fillId="5" borderId="11" xfId="0" applyFont="1" applyFill="1" applyBorder="1"/>
    <xf numFmtId="0" fontId="2" fillId="0" borderId="12" xfId="0" applyFont="1" applyBorder="1"/>
    <xf numFmtId="0" fontId="4" fillId="0" borderId="0" xfId="0" applyFont="1"/>
    <xf numFmtId="0" fontId="7" fillId="0" borderId="0" xfId="1" applyFont="1"/>
    <xf numFmtId="0" fontId="8" fillId="0" borderId="0" xfId="1" applyFont="1"/>
    <xf numFmtId="0" fontId="9" fillId="0" borderId="0" xfId="1" applyFont="1"/>
    <xf numFmtId="0" fontId="7" fillId="7" borderId="19" xfId="1" applyFont="1" applyFill="1" applyBorder="1" applyAlignment="1">
      <alignment horizontal="center" vertical="center"/>
    </xf>
    <xf numFmtId="0" fontId="7" fillId="7" borderId="20" xfId="1" applyFont="1" applyFill="1" applyBorder="1"/>
    <xf numFmtId="0" fontId="7" fillId="7" borderId="21" xfId="1" applyFont="1" applyFill="1" applyBorder="1"/>
    <xf numFmtId="0" fontId="7" fillId="7" borderId="22" xfId="1" applyFont="1" applyFill="1" applyBorder="1" applyAlignment="1">
      <alignment vertical="center"/>
    </xf>
    <xf numFmtId="16" fontId="7" fillId="7" borderId="23" xfId="1" applyNumberFormat="1" applyFont="1" applyFill="1" applyBorder="1" applyAlignment="1">
      <alignment horizontal="center"/>
    </xf>
    <xf numFmtId="0" fontId="7" fillId="7" borderId="23" xfId="1" applyFont="1" applyFill="1" applyBorder="1" applyAlignment="1">
      <alignment horizontal="center"/>
    </xf>
    <xf numFmtId="17" fontId="7" fillId="7" borderId="23" xfId="1" applyNumberFormat="1" applyFont="1" applyFill="1" applyBorder="1" applyAlignment="1">
      <alignment horizontal="center"/>
    </xf>
    <xf numFmtId="0" fontId="7" fillId="7" borderId="24" xfId="1" applyFont="1" applyFill="1" applyBorder="1" applyAlignment="1">
      <alignment horizontal="center"/>
    </xf>
    <xf numFmtId="0" fontId="10" fillId="8" borderId="25" xfId="1" applyFont="1" applyFill="1" applyBorder="1" applyAlignment="1">
      <alignment horizontal="center"/>
    </xf>
    <xf numFmtId="0" fontId="10" fillId="9" borderId="26" xfId="1" applyFont="1" applyFill="1" applyBorder="1"/>
    <xf numFmtId="0" fontId="10" fillId="0" borderId="28" xfId="1" applyFont="1" applyBorder="1" applyAlignment="1">
      <alignment horizontal="center"/>
    </xf>
    <xf numFmtId="0" fontId="10" fillId="0" borderId="29" xfId="1" applyFont="1" applyBorder="1" applyAlignment="1">
      <alignment horizontal="center"/>
    </xf>
    <xf numFmtId="2" fontId="10" fillId="0" borderId="30" xfId="1" applyNumberFormat="1" applyFont="1" applyBorder="1" applyAlignment="1">
      <alignment horizontal="center"/>
    </xf>
    <xf numFmtId="0" fontId="10" fillId="0" borderId="30" xfId="1" applyFont="1" applyBorder="1" applyAlignment="1">
      <alignment horizontal="center"/>
    </xf>
    <xf numFmtId="0" fontId="10" fillId="0" borderId="31" xfId="1" applyFont="1" applyBorder="1"/>
    <xf numFmtId="164" fontId="10" fillId="0" borderId="32" xfId="1" applyNumberFormat="1" applyFont="1" applyBorder="1" applyAlignment="1">
      <alignment horizontal="center"/>
    </xf>
    <xf numFmtId="0" fontId="10" fillId="0" borderId="32" xfId="1" applyFont="1" applyBorder="1" applyAlignment="1">
      <alignment horizontal="center"/>
    </xf>
    <xf numFmtId="2" fontId="10" fillId="0" borderId="33" xfId="1" applyNumberFormat="1" applyFont="1" applyBorder="1" applyAlignment="1">
      <alignment horizontal="center"/>
    </xf>
    <xf numFmtId="2" fontId="10" fillId="0" borderId="27" xfId="1" applyNumberFormat="1" applyFont="1" applyBorder="1" applyAlignment="1">
      <alignment horizontal="center"/>
    </xf>
    <xf numFmtId="2" fontId="10" fillId="0" borderId="29" xfId="1" applyNumberFormat="1" applyFont="1" applyBorder="1" applyAlignment="1">
      <alignment horizontal="center"/>
    </xf>
    <xf numFmtId="1" fontId="10" fillId="0" borderId="29" xfId="1" applyNumberFormat="1" applyFont="1" applyBorder="1" applyAlignment="1">
      <alignment horizontal="center"/>
    </xf>
    <xf numFmtId="164" fontId="10" fillId="0" borderId="29" xfId="1" applyNumberFormat="1" applyFont="1" applyBorder="1" applyAlignment="1">
      <alignment horizontal="center"/>
    </xf>
    <xf numFmtId="164" fontId="8" fillId="0" borderId="0" xfId="1" applyNumberFormat="1" applyFont="1" applyAlignment="1">
      <alignment horizontal="center" vertical="center"/>
    </xf>
    <xf numFmtId="2" fontId="8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2" fillId="0" borderId="7" xfId="0" applyFont="1" applyBorder="1" applyAlignment="1">
      <alignment horizontal="center"/>
    </xf>
    <xf numFmtId="0" fontId="4" fillId="0" borderId="12" xfId="0" applyFont="1" applyBorder="1"/>
    <xf numFmtId="0" fontId="1" fillId="0" borderId="0" xfId="0" applyFont="1"/>
    <xf numFmtId="0" fontId="0" fillId="0" borderId="0" xfId="0"/>
    <xf numFmtId="0" fontId="1" fillId="2" borderId="4" xfId="0" applyFont="1" applyFill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1" fillId="2" borderId="8" xfId="0" applyFont="1" applyFill="1" applyBorder="1"/>
    <xf numFmtId="0" fontId="4" fillId="0" borderId="8" xfId="0" applyFont="1" applyBorder="1"/>
    <xf numFmtId="2" fontId="8" fillId="0" borderId="35" xfId="1" applyNumberFormat="1" applyFont="1" applyBorder="1" applyAlignment="1">
      <alignment horizontal="center" vertical="center"/>
    </xf>
    <xf numFmtId="2" fontId="8" fillId="0" borderId="38" xfId="1" applyNumberFormat="1" applyFont="1" applyBorder="1" applyAlignment="1">
      <alignment horizontal="center" vertical="center"/>
    </xf>
    <xf numFmtId="0" fontId="7" fillId="7" borderId="13" xfId="1" applyFont="1" applyFill="1" applyBorder="1" applyAlignment="1">
      <alignment horizontal="center"/>
    </xf>
    <xf numFmtId="0" fontId="7" fillId="7" borderId="14" xfId="1" applyFont="1" applyFill="1" applyBorder="1" applyAlignment="1">
      <alignment horizontal="center"/>
    </xf>
    <xf numFmtId="0" fontId="7" fillId="7" borderId="15" xfId="1" applyFont="1" applyFill="1" applyBorder="1" applyAlignment="1">
      <alignment horizontal="center"/>
    </xf>
    <xf numFmtId="0" fontId="7" fillId="7" borderId="16" xfId="1" applyFont="1" applyFill="1" applyBorder="1" applyAlignment="1">
      <alignment horizontal="center"/>
    </xf>
    <xf numFmtId="0" fontId="7" fillId="7" borderId="17" xfId="1" applyFont="1" applyFill="1" applyBorder="1" applyAlignment="1">
      <alignment horizontal="center"/>
    </xf>
    <xf numFmtId="0" fontId="7" fillId="7" borderId="18" xfId="1" applyFont="1" applyFill="1" applyBorder="1" applyAlignment="1">
      <alignment horizontal="center"/>
    </xf>
    <xf numFmtId="164" fontId="8" fillId="0" borderId="34" xfId="1" applyNumberFormat="1" applyFont="1" applyBorder="1" applyAlignment="1">
      <alignment horizontal="center" vertical="center"/>
    </xf>
    <xf numFmtId="164" fontId="8" fillId="0" borderId="37" xfId="1" applyNumberFormat="1" applyFont="1" applyBorder="1" applyAlignment="1">
      <alignment horizontal="center" vertical="center"/>
    </xf>
    <xf numFmtId="2" fontId="8" fillId="0" borderId="36" xfId="1" applyNumberFormat="1" applyFont="1" applyBorder="1" applyAlignment="1">
      <alignment horizontal="center" vertical="center"/>
    </xf>
    <xf numFmtId="2" fontId="8" fillId="0" borderId="39" xfId="1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8" xfId="0" applyFont="1" applyFill="1" applyBorder="1"/>
  </cellXfs>
  <cellStyles count="2">
    <cellStyle name="Normal" xfId="0" builtinId="0"/>
    <cellStyle name="Normal 2" xfId="1" xr:uid="{8BD84FCB-3D1E-4EF6-91EE-4418876110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53"/>
  <sheetViews>
    <sheetView tabSelected="1" topLeftCell="A33" zoomScale="95" zoomScaleNormal="100" workbookViewId="0">
      <selection activeCell="J37" sqref="J37:J38"/>
    </sheetView>
  </sheetViews>
  <sheetFormatPr defaultColWidth="12.6328125" defaultRowHeight="15.75" customHeight="1" x14ac:dyDescent="0.25"/>
  <sheetData>
    <row r="1" spans="1:11" ht="14" x14ac:dyDescent="0.3">
      <c r="A1" s="65" t="s">
        <v>0</v>
      </c>
      <c r="B1" s="66"/>
      <c r="C1" s="66"/>
      <c r="D1" s="66"/>
      <c r="E1" s="66"/>
      <c r="F1" s="2"/>
      <c r="G1" s="2"/>
      <c r="H1" s="2"/>
      <c r="I1" s="2"/>
      <c r="J1" s="2"/>
      <c r="K1" s="2"/>
    </row>
    <row r="2" spans="1:11" ht="14" x14ac:dyDescent="0.3">
      <c r="A2" s="65" t="s">
        <v>1</v>
      </c>
      <c r="B2" s="66"/>
      <c r="C2" s="66"/>
      <c r="D2" s="2"/>
      <c r="E2" s="2"/>
      <c r="F2" s="2"/>
      <c r="G2" s="65" t="s">
        <v>2</v>
      </c>
      <c r="H2" s="66"/>
      <c r="I2" s="66"/>
      <c r="J2" s="1"/>
      <c r="K2" s="2"/>
    </row>
    <row r="3" spans="1:11" ht="14" x14ac:dyDescent="0.3">
      <c r="A3" s="65" t="s">
        <v>3</v>
      </c>
      <c r="B3" s="66"/>
      <c r="C3" s="66"/>
      <c r="D3" s="66"/>
      <c r="E3" s="66"/>
      <c r="F3" s="2"/>
      <c r="G3" s="65" t="s">
        <v>4</v>
      </c>
      <c r="H3" s="66"/>
      <c r="I3" s="66"/>
      <c r="J3" s="66"/>
      <c r="K3" s="2"/>
    </row>
    <row r="4" spans="1:11" ht="14" x14ac:dyDescent="0.3">
      <c r="A4" s="65" t="s">
        <v>5</v>
      </c>
      <c r="B4" s="66"/>
      <c r="C4" s="66"/>
      <c r="D4" s="66"/>
      <c r="E4" s="66"/>
      <c r="F4" s="2"/>
      <c r="G4" s="65" t="s">
        <v>6</v>
      </c>
      <c r="H4" s="66"/>
      <c r="I4" s="66"/>
      <c r="J4" s="6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60" t="s">
        <v>7</v>
      </c>
      <c r="B6" s="61"/>
      <c r="C6" s="61"/>
      <c r="D6" s="61"/>
      <c r="E6" s="61"/>
      <c r="F6" s="61"/>
      <c r="G6" s="61"/>
      <c r="H6" s="61"/>
      <c r="I6" s="61"/>
      <c r="J6" s="61"/>
      <c r="K6" s="62"/>
    </row>
    <row r="7" spans="1:11" ht="14" x14ac:dyDescent="0.3">
      <c r="A7" s="67" t="s">
        <v>8</v>
      </c>
      <c r="B7" s="68"/>
      <c r="C7" s="68"/>
      <c r="D7" s="68"/>
      <c r="E7" s="68"/>
      <c r="F7" s="68"/>
      <c r="G7" s="68"/>
      <c r="H7" s="68"/>
      <c r="I7" s="68"/>
      <c r="J7" s="68"/>
      <c r="K7" s="69"/>
    </row>
    <row r="8" spans="1:11" ht="14" x14ac:dyDescent="0.3">
      <c r="A8" s="4" t="s">
        <v>9</v>
      </c>
      <c r="B8" s="5"/>
      <c r="C8" s="5"/>
      <c r="D8" s="5"/>
      <c r="E8" s="70" t="s">
        <v>10</v>
      </c>
      <c r="F8" s="71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5.75" customHeight="1" x14ac:dyDescent="0.25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11">
        <v>-207</v>
      </c>
    </row>
    <row r="11" spans="1:11" ht="15.75" customHeight="1" x14ac:dyDescent="0.25">
      <c r="A11" s="12" t="s">
        <v>23</v>
      </c>
      <c r="B11" s="13"/>
      <c r="C11" s="13"/>
      <c r="D11" s="13"/>
      <c r="E11" s="13"/>
      <c r="F11" s="13"/>
      <c r="G11" s="13"/>
      <c r="H11" s="13"/>
      <c r="I11" s="13"/>
      <c r="J11" s="13"/>
      <c r="K11" s="14"/>
    </row>
    <row r="12" spans="1:11" ht="15.75" customHeight="1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</row>
    <row r="13" spans="1:11" ht="15.75" customHeight="1" x14ac:dyDescent="0.25">
      <c r="A13" s="12" t="s">
        <v>24</v>
      </c>
      <c r="B13" s="13">
        <v>6</v>
      </c>
      <c r="C13" s="13">
        <v>18</v>
      </c>
      <c r="D13" s="13">
        <v>5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4">
        <v>29</v>
      </c>
    </row>
    <row r="14" spans="1:11" ht="15.75" customHeight="1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</row>
    <row r="15" spans="1:11" ht="15.75" customHeight="1" x14ac:dyDescent="0.25">
      <c r="A15" s="12" t="s">
        <v>25</v>
      </c>
      <c r="B15" s="13">
        <v>38</v>
      </c>
      <c r="C15" s="13">
        <v>55</v>
      </c>
      <c r="D15" s="13">
        <v>2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4">
        <v>95</v>
      </c>
    </row>
    <row r="16" spans="1:11" ht="15.75" customHeight="1" x14ac:dyDescent="0.2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4"/>
    </row>
    <row r="17" spans="1:11" ht="15.75" customHeight="1" x14ac:dyDescent="0.25">
      <c r="A17" s="12" t="s">
        <v>26</v>
      </c>
      <c r="B17" s="13">
        <v>27</v>
      </c>
      <c r="C17" s="13">
        <v>23</v>
      </c>
      <c r="D17" s="13">
        <v>3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4">
        <v>53</v>
      </c>
    </row>
    <row r="18" spans="1:11" ht="15.75" customHeight="1" x14ac:dyDescent="0.25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4"/>
    </row>
    <row r="19" spans="1:11" ht="15.75" customHeight="1" x14ac:dyDescent="0.25">
      <c r="A19" s="12" t="s">
        <v>27</v>
      </c>
      <c r="B19" s="13">
        <v>12</v>
      </c>
      <c r="C19" s="13">
        <v>4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4">
        <v>16</v>
      </c>
    </row>
    <row r="20" spans="1:11" ht="12.5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4"/>
    </row>
    <row r="21" spans="1:11" ht="12.5" x14ac:dyDescent="0.25">
      <c r="A21" s="12" t="s">
        <v>28</v>
      </c>
      <c r="B21" s="13">
        <v>6</v>
      </c>
      <c r="C21" s="13">
        <v>2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4">
        <v>8</v>
      </c>
    </row>
    <row r="22" spans="1:11" ht="12.5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4"/>
    </row>
    <row r="23" spans="1:11" ht="12.5" x14ac:dyDescent="0.25">
      <c r="A23" s="12" t="s">
        <v>29</v>
      </c>
      <c r="B23" s="13">
        <v>3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4">
        <v>3</v>
      </c>
    </row>
    <row r="24" spans="1:11" ht="12.5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4"/>
    </row>
    <row r="25" spans="1:11" ht="12.5" x14ac:dyDescent="0.25">
      <c r="A25" s="12" t="s">
        <v>30</v>
      </c>
      <c r="B25" s="13">
        <v>6</v>
      </c>
      <c r="C25" s="13">
        <v>2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4">
        <v>8</v>
      </c>
    </row>
    <row r="26" spans="1:11" ht="12.5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4"/>
    </row>
    <row r="27" spans="1:11" ht="12.5" x14ac:dyDescent="0.25">
      <c r="A27" s="12" t="s">
        <v>31</v>
      </c>
      <c r="B27" s="13">
        <v>10</v>
      </c>
      <c r="C27" s="13">
        <v>3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4">
        <v>13</v>
      </c>
    </row>
    <row r="28" spans="1:11" ht="12.5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4"/>
    </row>
    <row r="29" spans="1:11" ht="12.5" x14ac:dyDescent="0.25">
      <c r="A29" s="12" t="s">
        <v>32</v>
      </c>
      <c r="B29" s="13">
        <v>6</v>
      </c>
      <c r="C29" s="13">
        <v>4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4">
        <v>10</v>
      </c>
    </row>
    <row r="30" spans="1:11" ht="12.5" x14ac:dyDescent="0.25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4"/>
    </row>
    <row r="31" spans="1:11" ht="12.5" x14ac:dyDescent="0.25">
      <c r="A31" s="12" t="s">
        <v>33</v>
      </c>
      <c r="B31" s="13">
        <v>2</v>
      </c>
      <c r="C31" s="13">
        <v>3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4">
        <v>5</v>
      </c>
    </row>
    <row r="32" spans="1:11" ht="12.5" x14ac:dyDescent="0.2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4"/>
    </row>
    <row r="33" spans="1:11" ht="12.5" x14ac:dyDescent="0.25">
      <c r="A33" s="12" t="s">
        <v>34</v>
      </c>
      <c r="B33" s="13">
        <v>9</v>
      </c>
      <c r="C33" s="13">
        <v>2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4">
        <v>12</v>
      </c>
    </row>
    <row r="34" spans="1:11" ht="12.5" x14ac:dyDescent="0.25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4"/>
    </row>
    <row r="35" spans="1:11" ht="12.5" x14ac:dyDescent="0.25">
      <c r="A35" s="12" t="s">
        <v>35</v>
      </c>
      <c r="B35" s="13">
        <v>14</v>
      </c>
      <c r="C35" s="13">
        <v>35</v>
      </c>
      <c r="D35" s="13">
        <v>6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4">
        <v>55</v>
      </c>
    </row>
    <row r="36" spans="1:11" ht="12.5" x14ac:dyDescent="0.25">
      <c r="A36" s="15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 ht="12.5" x14ac:dyDescent="0.25">
      <c r="A37" s="63" t="s">
        <v>21</v>
      </c>
      <c r="B37" s="63">
        <v>139</v>
      </c>
      <c r="C37" s="63">
        <v>151</v>
      </c>
      <c r="D37" s="63">
        <v>17</v>
      </c>
      <c r="E37" s="63">
        <v>0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100</v>
      </c>
    </row>
    <row r="38" spans="1:11" ht="12.5" x14ac:dyDescent="0.2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1:11" ht="12.5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1:11" ht="12.5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31" t="s">
        <v>0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14" x14ac:dyDescent="0.3">
      <c r="A45" s="31" t="s">
        <v>1</v>
      </c>
      <c r="B45" s="32"/>
      <c r="C45" s="32"/>
      <c r="D45" s="32"/>
      <c r="E45" s="32"/>
      <c r="F45" s="32"/>
      <c r="G45" s="31" t="s">
        <v>110</v>
      </c>
      <c r="H45" s="31"/>
      <c r="I45" s="31"/>
      <c r="J45" s="31"/>
      <c r="K45" s="32"/>
    </row>
    <row r="46" spans="1:11" ht="14" x14ac:dyDescent="0.3">
      <c r="A46" s="31" t="s">
        <v>3</v>
      </c>
      <c r="B46" s="32"/>
      <c r="C46" s="32"/>
      <c r="D46" s="32"/>
      <c r="E46" s="32"/>
      <c r="F46" s="32"/>
      <c r="G46" s="31" t="s">
        <v>4</v>
      </c>
      <c r="H46" s="31"/>
      <c r="I46" s="31"/>
      <c r="J46" s="31"/>
      <c r="K46" s="32"/>
    </row>
    <row r="47" spans="1:11" ht="14" x14ac:dyDescent="0.3">
      <c r="A47" s="31" t="s">
        <v>88</v>
      </c>
      <c r="B47" s="32"/>
      <c r="C47" s="32"/>
      <c r="D47" s="32"/>
      <c r="E47" s="32"/>
      <c r="F47" s="32"/>
      <c r="G47" s="31" t="s">
        <v>6</v>
      </c>
      <c r="H47" s="31"/>
      <c r="I47" s="31"/>
      <c r="J47" s="31"/>
      <c r="K47" s="32"/>
    </row>
    <row r="48" spans="1:11" ht="14.5" thickBot="1" x14ac:dyDescent="0.3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3">
        <v>3</v>
      </c>
    </row>
    <row r="49" spans="1:11" ht="14" x14ac:dyDescent="0.3">
      <c r="A49" s="74" t="s">
        <v>7</v>
      </c>
      <c r="B49" s="75"/>
      <c r="C49" s="75"/>
      <c r="D49" s="75"/>
      <c r="E49" s="75"/>
      <c r="F49" s="75"/>
      <c r="G49" s="75"/>
      <c r="H49" s="75"/>
      <c r="I49" s="75"/>
      <c r="J49" s="75"/>
      <c r="K49" s="76"/>
    </row>
    <row r="50" spans="1:11" ht="14" x14ac:dyDescent="0.3">
      <c r="A50" s="77" t="s">
        <v>8</v>
      </c>
      <c r="B50" s="78"/>
      <c r="C50" s="78"/>
      <c r="D50" s="78"/>
      <c r="E50" s="78"/>
      <c r="F50" s="78"/>
      <c r="G50" s="78"/>
      <c r="H50" s="78"/>
      <c r="I50" s="78"/>
      <c r="J50" s="78"/>
      <c r="K50" s="79"/>
    </row>
    <row r="51" spans="1:11" ht="14" x14ac:dyDescent="0.3">
      <c r="A51" s="34" t="s">
        <v>9</v>
      </c>
      <c r="B51" s="35" t="s">
        <v>89</v>
      </c>
      <c r="C51" s="35"/>
      <c r="D51" s="35"/>
      <c r="E51" s="35" t="s">
        <v>10</v>
      </c>
      <c r="F51" s="35"/>
      <c r="G51" s="35"/>
      <c r="H51" s="35"/>
      <c r="I51" s="35"/>
      <c r="J51" s="35"/>
      <c r="K51" s="36"/>
    </row>
    <row r="52" spans="1:11" ht="14.5" thickBot="1" x14ac:dyDescent="0.35">
      <c r="A52" s="37" t="s">
        <v>11</v>
      </c>
      <c r="B52" s="38" t="s">
        <v>90</v>
      </c>
      <c r="C52" s="39" t="s">
        <v>91</v>
      </c>
      <c r="D52" s="40" t="s">
        <v>92</v>
      </c>
      <c r="E52" s="39" t="s">
        <v>93</v>
      </c>
      <c r="F52" s="39" t="s">
        <v>94</v>
      </c>
      <c r="G52" s="39" t="s">
        <v>95</v>
      </c>
      <c r="H52" s="39" t="s">
        <v>96</v>
      </c>
      <c r="I52" s="39" t="s">
        <v>97</v>
      </c>
      <c r="J52" s="39" t="s">
        <v>98</v>
      </c>
      <c r="K52" s="41" t="s">
        <v>99</v>
      </c>
    </row>
    <row r="53" spans="1:11" ht="12.5" x14ac:dyDescent="0.25">
      <c r="A53" s="42" t="s">
        <v>22</v>
      </c>
      <c r="B53" s="43"/>
      <c r="C53" s="43"/>
      <c r="D53" s="43"/>
      <c r="E53" s="43"/>
      <c r="F53" s="43"/>
      <c r="G53" s="43"/>
      <c r="H53" s="43"/>
      <c r="I53" s="43"/>
      <c r="J53" s="43"/>
      <c r="K53" s="52">
        <f>100-(K56+K58+K60+K62+K64+K66+K68+K70+K72+K74+K76+K78)</f>
        <v>-223</v>
      </c>
    </row>
    <row r="54" spans="1:11" ht="12.5" x14ac:dyDescent="0.25">
      <c r="A54" s="44" t="s">
        <v>23</v>
      </c>
      <c r="B54" s="45"/>
      <c r="C54" s="45"/>
      <c r="D54" s="45"/>
      <c r="E54" s="45"/>
      <c r="F54" s="45"/>
      <c r="G54" s="45"/>
      <c r="H54" s="45"/>
      <c r="I54" s="45"/>
      <c r="J54" s="45"/>
      <c r="K54" s="46"/>
    </row>
    <row r="55" spans="1:11" ht="12.5" x14ac:dyDescent="0.25">
      <c r="A55" s="44"/>
      <c r="C55" s="45"/>
      <c r="D55" s="45"/>
      <c r="E55" s="45"/>
      <c r="F55" s="45"/>
      <c r="G55" s="45"/>
      <c r="H55" s="45"/>
      <c r="I55" s="45"/>
      <c r="J55" s="45"/>
      <c r="K55" s="47"/>
    </row>
    <row r="56" spans="1:11" ht="12.5" x14ac:dyDescent="0.25">
      <c r="A56" s="44" t="s">
        <v>100</v>
      </c>
      <c r="B56" s="45">
        <v>0</v>
      </c>
      <c r="C56" s="53">
        <v>33</v>
      </c>
      <c r="D56" s="53">
        <v>3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46">
        <f>SUM(B56:J56)</f>
        <v>36</v>
      </c>
    </row>
    <row r="57" spans="1:11" ht="12.5" x14ac:dyDescent="0.25">
      <c r="A57" s="44"/>
      <c r="B57" s="53"/>
      <c r="C57" s="53"/>
      <c r="D57" s="54"/>
      <c r="E57" s="53"/>
      <c r="F57" s="53"/>
      <c r="G57" s="53"/>
      <c r="H57" s="53"/>
      <c r="I57" s="45"/>
      <c r="J57" s="45"/>
      <c r="K57" s="46"/>
    </row>
    <row r="58" spans="1:11" ht="12.5" x14ac:dyDescent="0.25">
      <c r="A58" s="44" t="s">
        <v>101</v>
      </c>
      <c r="B58" s="53">
        <v>28</v>
      </c>
      <c r="C58" s="53">
        <v>35</v>
      </c>
      <c r="D58" s="53">
        <v>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46">
        <f>SUM(B58:J58)</f>
        <v>65</v>
      </c>
    </row>
    <row r="59" spans="1:11" ht="12.5" x14ac:dyDescent="0.25">
      <c r="A59" s="44"/>
      <c r="B59" s="53"/>
      <c r="C59" s="53"/>
      <c r="D59" s="54"/>
      <c r="E59" s="53"/>
      <c r="F59" s="53"/>
      <c r="G59" s="53"/>
      <c r="H59" s="53"/>
      <c r="I59" s="45"/>
      <c r="J59" s="45"/>
      <c r="K59" s="46"/>
    </row>
    <row r="60" spans="1:11" ht="12.5" x14ac:dyDescent="0.25">
      <c r="A60" s="44" t="s">
        <v>102</v>
      </c>
      <c r="B60" s="53">
        <v>25</v>
      </c>
      <c r="C60" s="53">
        <v>17</v>
      </c>
      <c r="D60" s="53">
        <v>1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46">
        <f>SUM(B60:J60)</f>
        <v>43</v>
      </c>
    </row>
    <row r="61" spans="1:11" ht="12.5" x14ac:dyDescent="0.25">
      <c r="A61" s="44"/>
      <c r="B61" s="53"/>
      <c r="C61" s="53"/>
      <c r="D61" s="54"/>
      <c r="E61" s="53"/>
      <c r="F61" s="53"/>
      <c r="G61" s="53"/>
      <c r="H61" s="53"/>
      <c r="I61" s="45"/>
      <c r="J61" s="45"/>
      <c r="K61" s="46"/>
    </row>
    <row r="62" spans="1:11" ht="12.5" x14ac:dyDescent="0.25">
      <c r="A62" s="44" t="s">
        <v>103</v>
      </c>
      <c r="B62" s="53">
        <v>4</v>
      </c>
      <c r="C62" s="53">
        <v>1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46">
        <f>SUM(B62:J62)</f>
        <v>5</v>
      </c>
    </row>
    <row r="63" spans="1:11" ht="12.5" x14ac:dyDescent="0.25">
      <c r="A63" s="44"/>
      <c r="B63" s="53"/>
      <c r="C63" s="53"/>
      <c r="D63" s="54"/>
      <c r="E63" s="53"/>
      <c r="F63" s="53"/>
      <c r="G63" s="53"/>
      <c r="H63" s="53"/>
      <c r="I63" s="45"/>
      <c r="J63" s="45"/>
      <c r="K63" s="46"/>
    </row>
    <row r="64" spans="1:11" ht="12.5" x14ac:dyDescent="0.25">
      <c r="A64" s="44" t="s">
        <v>104</v>
      </c>
      <c r="B64" s="53">
        <v>2</v>
      </c>
      <c r="C64" s="53">
        <v>0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46">
        <f>SUM(B64:J64)</f>
        <v>2</v>
      </c>
    </row>
    <row r="65" spans="1:11" ht="12.5" x14ac:dyDescent="0.25">
      <c r="A65" s="44"/>
      <c r="B65" s="53"/>
      <c r="C65" s="53"/>
      <c r="D65" s="54"/>
      <c r="E65" s="53"/>
      <c r="F65" s="53"/>
      <c r="G65" s="53"/>
      <c r="H65" s="53"/>
      <c r="I65" s="45"/>
      <c r="J65" s="45"/>
      <c r="K65" s="46"/>
    </row>
    <row r="66" spans="1:11" ht="12.5" x14ac:dyDescent="0.25">
      <c r="A66" s="44" t="s">
        <v>29</v>
      </c>
      <c r="B66" s="53">
        <v>2</v>
      </c>
      <c r="C66" s="53">
        <v>1</v>
      </c>
      <c r="D66" s="53">
        <v>0</v>
      </c>
      <c r="E66" s="53">
        <v>0</v>
      </c>
      <c r="F66" s="45">
        <v>0</v>
      </c>
      <c r="G66" s="53">
        <v>0</v>
      </c>
      <c r="H66" s="53">
        <v>0</v>
      </c>
      <c r="I66" s="53">
        <v>0</v>
      </c>
      <c r="J66" s="53">
        <v>0</v>
      </c>
      <c r="K66" s="46">
        <f>SUM(B66:J66)</f>
        <v>3</v>
      </c>
    </row>
    <row r="67" spans="1:11" ht="12.5" x14ac:dyDescent="0.25">
      <c r="A67" s="44"/>
      <c r="B67" s="53"/>
      <c r="C67" s="53"/>
      <c r="D67" s="54"/>
      <c r="E67" s="53"/>
      <c r="F67" s="53"/>
      <c r="G67" s="53"/>
      <c r="H67" s="53"/>
      <c r="I67" s="45"/>
      <c r="J67" s="45"/>
      <c r="K67" s="46"/>
    </row>
    <row r="68" spans="1:11" ht="12.5" x14ac:dyDescent="0.25">
      <c r="A68" s="44" t="s">
        <v>105</v>
      </c>
      <c r="B68" s="53">
        <v>6</v>
      </c>
      <c r="C68" s="53">
        <v>4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46">
        <f>SUM(B68:J68)</f>
        <v>10</v>
      </c>
    </row>
    <row r="69" spans="1:11" ht="12.5" x14ac:dyDescent="0.25">
      <c r="A69" s="44"/>
      <c r="B69" s="53"/>
      <c r="C69" s="53"/>
      <c r="D69" s="53"/>
      <c r="E69" s="53"/>
      <c r="F69" s="53"/>
      <c r="G69" s="53"/>
      <c r="H69" s="53"/>
      <c r="I69" s="45"/>
      <c r="J69" s="45"/>
      <c r="K69" s="46"/>
    </row>
    <row r="70" spans="1:11" ht="12.5" x14ac:dyDescent="0.25">
      <c r="A70" s="44" t="s">
        <v>106</v>
      </c>
      <c r="B70" s="53">
        <v>12</v>
      </c>
      <c r="C70" s="53">
        <v>5</v>
      </c>
      <c r="D70" s="53">
        <v>0</v>
      </c>
      <c r="E70" s="53">
        <v>0</v>
      </c>
      <c r="F70" s="45">
        <v>0</v>
      </c>
      <c r="G70" s="53">
        <v>0</v>
      </c>
      <c r="H70" s="53">
        <v>0</v>
      </c>
      <c r="I70" s="53">
        <v>0</v>
      </c>
      <c r="J70" s="53">
        <v>0</v>
      </c>
      <c r="K70" s="46">
        <f>SUM(B70:J70)</f>
        <v>17</v>
      </c>
    </row>
    <row r="71" spans="1:11" ht="12.5" x14ac:dyDescent="0.25">
      <c r="A71" s="44"/>
      <c r="B71" s="53"/>
      <c r="C71" s="53"/>
      <c r="D71" s="54"/>
      <c r="E71" s="53"/>
      <c r="F71" s="53"/>
      <c r="G71" s="53"/>
      <c r="H71" s="53"/>
      <c r="I71" s="45"/>
      <c r="J71" s="45"/>
      <c r="K71" s="46"/>
    </row>
    <row r="72" spans="1:11" ht="12.5" x14ac:dyDescent="0.25">
      <c r="A72" s="44" t="s">
        <v>107</v>
      </c>
      <c r="B72" s="53">
        <v>6</v>
      </c>
      <c r="C72" s="53">
        <v>6</v>
      </c>
      <c r="D72" s="53">
        <v>0</v>
      </c>
      <c r="E72" s="53">
        <v>0</v>
      </c>
      <c r="F72" s="45">
        <v>0</v>
      </c>
      <c r="G72" s="53">
        <v>0</v>
      </c>
      <c r="H72" s="53">
        <v>0</v>
      </c>
      <c r="I72" s="53">
        <v>0</v>
      </c>
      <c r="J72" s="53">
        <v>0</v>
      </c>
      <c r="K72" s="46">
        <f>SUM(B72:J72)</f>
        <v>12</v>
      </c>
    </row>
    <row r="73" spans="1:11" ht="12.5" x14ac:dyDescent="0.25">
      <c r="A73" s="44"/>
      <c r="B73" s="53"/>
      <c r="C73" s="53"/>
      <c r="D73" s="54"/>
      <c r="E73" s="53"/>
      <c r="F73" s="53"/>
      <c r="G73" s="53"/>
      <c r="H73" s="53"/>
      <c r="I73" s="45"/>
      <c r="J73" s="45"/>
      <c r="K73" s="46"/>
    </row>
    <row r="74" spans="1:11" ht="12.5" x14ac:dyDescent="0.25">
      <c r="A74" s="44" t="s">
        <v>108</v>
      </c>
      <c r="B74" s="53">
        <v>11</v>
      </c>
      <c r="C74" s="53">
        <v>5</v>
      </c>
      <c r="D74" s="53">
        <v>0</v>
      </c>
      <c r="E74" s="45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46">
        <f>SUM(B74:J74)</f>
        <v>16</v>
      </c>
    </row>
    <row r="75" spans="1:11" ht="12.5" x14ac:dyDescent="0.25">
      <c r="A75" s="44"/>
      <c r="B75" s="53"/>
      <c r="C75" s="53"/>
      <c r="D75" s="54"/>
      <c r="E75" s="53"/>
      <c r="F75" s="53"/>
      <c r="G75" s="53"/>
      <c r="H75" s="53"/>
      <c r="I75" s="45"/>
      <c r="J75" s="45"/>
      <c r="K75" s="46"/>
    </row>
    <row r="76" spans="1:11" ht="12.5" x14ac:dyDescent="0.25">
      <c r="A76" s="44" t="s">
        <v>109</v>
      </c>
      <c r="B76" s="53">
        <v>18</v>
      </c>
      <c r="C76" s="53">
        <v>22</v>
      </c>
      <c r="D76" s="53">
        <v>1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46">
        <f>SUM(B76:J76)</f>
        <v>41</v>
      </c>
    </row>
    <row r="77" spans="1:11" ht="12.5" x14ac:dyDescent="0.25">
      <c r="A77" s="44"/>
      <c r="B77" s="53"/>
      <c r="C77" s="53"/>
      <c r="D77" s="54"/>
      <c r="E77" s="53"/>
      <c r="F77" s="53"/>
      <c r="G77" s="53"/>
      <c r="H77" s="53"/>
      <c r="I77" s="55"/>
      <c r="J77" s="55"/>
      <c r="K77" s="46"/>
    </row>
    <row r="78" spans="1:11" ht="12.5" x14ac:dyDescent="0.25">
      <c r="A78" s="44" t="s">
        <v>35</v>
      </c>
      <c r="B78" s="53">
        <v>29</v>
      </c>
      <c r="C78" s="53">
        <v>37</v>
      </c>
      <c r="D78" s="53">
        <v>6</v>
      </c>
      <c r="E78" s="53">
        <v>1</v>
      </c>
      <c r="F78" s="53">
        <v>0</v>
      </c>
      <c r="G78" s="45">
        <v>0</v>
      </c>
      <c r="H78" s="53">
        <v>0</v>
      </c>
      <c r="I78" s="53">
        <v>0</v>
      </c>
      <c r="J78" s="53">
        <v>0</v>
      </c>
      <c r="K78" s="46">
        <f>SUM(B78:J78)</f>
        <v>73</v>
      </c>
    </row>
    <row r="79" spans="1:11" ht="13" thickBot="1" x14ac:dyDescent="0.3">
      <c r="A79" s="48"/>
      <c r="B79" s="49"/>
      <c r="C79" s="49"/>
      <c r="D79" s="50"/>
      <c r="E79" s="50"/>
      <c r="F79" s="50"/>
      <c r="G79" s="50"/>
      <c r="H79" s="50"/>
      <c r="I79" s="50"/>
      <c r="J79" s="50"/>
      <c r="K79" s="51"/>
    </row>
    <row r="80" spans="1:11" ht="12.5" customHeight="1" x14ac:dyDescent="0.25">
      <c r="A80" s="80" t="s">
        <v>21</v>
      </c>
      <c r="B80" s="72">
        <f>SUM(B56:B78)</f>
        <v>143</v>
      </c>
      <c r="C80" s="72">
        <f>SUM(C56:C78)</f>
        <v>166</v>
      </c>
      <c r="D80" s="72">
        <f>SUM(D56:D78)</f>
        <v>13</v>
      </c>
      <c r="E80" s="72">
        <f t="shared" ref="E80:J80" si="0">SUM(E56:E79)</f>
        <v>1</v>
      </c>
      <c r="F80" s="72">
        <f t="shared" si="0"/>
        <v>0</v>
      </c>
      <c r="G80" s="72">
        <f t="shared" si="0"/>
        <v>0</v>
      </c>
      <c r="H80" s="72">
        <f t="shared" si="0"/>
        <v>0</v>
      </c>
      <c r="I80" s="72">
        <f t="shared" si="0"/>
        <v>0</v>
      </c>
      <c r="J80" s="72">
        <f t="shared" si="0"/>
        <v>0</v>
      </c>
      <c r="K80" s="82">
        <f>SUM(K53:K78)</f>
        <v>100</v>
      </c>
    </row>
    <row r="81" spans="1:11" ht="13" customHeight="1" thickBot="1" x14ac:dyDescent="0.3">
      <c r="A81" s="81"/>
      <c r="B81" s="73"/>
      <c r="C81" s="73"/>
      <c r="D81" s="73"/>
      <c r="E81" s="73"/>
      <c r="F81" s="73"/>
      <c r="G81" s="73"/>
      <c r="H81" s="73"/>
      <c r="I81" s="73"/>
      <c r="J81" s="73"/>
      <c r="K81" s="83"/>
    </row>
    <row r="82" spans="1:11" ht="12.5" customHeight="1" x14ac:dyDescent="0.25">
      <c r="A82" s="56"/>
      <c r="B82" s="57"/>
      <c r="C82" s="57"/>
      <c r="D82" s="57"/>
      <c r="E82" s="57"/>
      <c r="F82" s="57"/>
      <c r="G82" s="57"/>
      <c r="H82" s="57"/>
      <c r="I82" s="57"/>
      <c r="J82" s="57"/>
      <c r="K82" s="57"/>
    </row>
    <row r="83" spans="1:11" ht="13" customHeight="1" x14ac:dyDescent="0.25">
      <c r="A83" s="56"/>
      <c r="B83" s="57"/>
      <c r="C83" s="57"/>
      <c r="D83" s="57"/>
      <c r="E83" s="57"/>
      <c r="F83" s="57"/>
      <c r="G83" s="57"/>
      <c r="H83" s="57"/>
      <c r="I83" s="57"/>
      <c r="J83" s="57"/>
      <c r="K83" s="57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65" t="s">
        <v>0</v>
      </c>
      <c r="B87" s="66"/>
      <c r="C87" s="66"/>
      <c r="D87" s="66"/>
      <c r="E87" s="66"/>
      <c r="F87" s="2"/>
      <c r="G87" s="2"/>
      <c r="H87" s="2"/>
      <c r="I87" s="2"/>
      <c r="J87" s="2"/>
      <c r="K87" s="2"/>
    </row>
    <row r="88" spans="1:11" ht="14" x14ac:dyDescent="0.3">
      <c r="A88" s="65" t="s">
        <v>1</v>
      </c>
      <c r="B88" s="66"/>
      <c r="C88" s="66"/>
      <c r="D88" s="2"/>
      <c r="E88" s="2"/>
      <c r="F88" s="2"/>
      <c r="G88" s="65" t="s">
        <v>36</v>
      </c>
      <c r="H88" s="66"/>
      <c r="I88" s="66"/>
      <c r="J88" s="1"/>
      <c r="K88" s="2"/>
    </row>
    <row r="89" spans="1:11" ht="14" x14ac:dyDescent="0.3">
      <c r="A89" s="65" t="s">
        <v>3</v>
      </c>
      <c r="B89" s="66"/>
      <c r="C89" s="66"/>
      <c r="D89" s="66"/>
      <c r="E89" s="66"/>
      <c r="F89" s="2"/>
      <c r="G89" s="65" t="s">
        <v>4</v>
      </c>
      <c r="H89" s="66"/>
      <c r="I89" s="66"/>
      <c r="J89" s="66"/>
      <c r="K89" s="2"/>
    </row>
    <row r="90" spans="1:11" ht="14" x14ac:dyDescent="0.3">
      <c r="A90" s="65" t="s">
        <v>5</v>
      </c>
      <c r="B90" s="66"/>
      <c r="C90" s="66"/>
      <c r="D90" s="66"/>
      <c r="E90" s="66"/>
      <c r="F90" s="2"/>
      <c r="G90" s="65" t="s">
        <v>6</v>
      </c>
      <c r="H90" s="66"/>
      <c r="I90" s="66"/>
      <c r="J90" s="6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60" t="s">
        <v>7</v>
      </c>
      <c r="B92" s="61"/>
      <c r="C92" s="61"/>
      <c r="D92" s="61"/>
      <c r="E92" s="61"/>
      <c r="F92" s="61"/>
      <c r="G92" s="61"/>
      <c r="H92" s="61"/>
      <c r="I92" s="61"/>
      <c r="J92" s="61"/>
      <c r="K92" s="62"/>
    </row>
    <row r="93" spans="1:11" ht="14" x14ac:dyDescent="0.3">
      <c r="A93" s="67" t="s">
        <v>8</v>
      </c>
      <c r="B93" s="68"/>
      <c r="C93" s="68"/>
      <c r="D93" s="68"/>
      <c r="E93" s="68"/>
      <c r="F93" s="68"/>
      <c r="G93" s="68"/>
      <c r="H93" s="68"/>
      <c r="I93" s="68"/>
      <c r="J93" s="68"/>
      <c r="K93" s="69"/>
    </row>
    <row r="94" spans="1:11" ht="14" x14ac:dyDescent="0.3">
      <c r="A94" s="4" t="s">
        <v>9</v>
      </c>
      <c r="B94" s="5"/>
      <c r="C94" s="5"/>
      <c r="D94" s="5"/>
      <c r="E94" s="70" t="s">
        <v>10</v>
      </c>
      <c r="F94" s="71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2.5" x14ac:dyDescent="0.25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11">
        <v>-640</v>
      </c>
    </row>
    <row r="97" spans="1:11" ht="12.5" x14ac:dyDescent="0.25">
      <c r="A97" s="12" t="s">
        <v>23</v>
      </c>
      <c r="B97" s="13"/>
      <c r="C97" s="13"/>
      <c r="D97" s="13"/>
      <c r="E97" s="13"/>
      <c r="F97" s="13"/>
      <c r="G97" s="13"/>
      <c r="H97" s="13"/>
      <c r="I97" s="13"/>
      <c r="J97" s="13"/>
      <c r="K97" s="14"/>
    </row>
    <row r="98" spans="1:11" ht="12.5" x14ac:dyDescent="0.25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4"/>
    </row>
    <row r="99" spans="1:11" ht="12.5" x14ac:dyDescent="0.25">
      <c r="A99" s="12" t="s">
        <v>24</v>
      </c>
      <c r="B99" s="13">
        <v>27</v>
      </c>
      <c r="C99" s="13">
        <v>52</v>
      </c>
      <c r="D99" s="13">
        <v>6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4">
        <v>85</v>
      </c>
    </row>
    <row r="100" spans="1:11" ht="12.5" x14ac:dyDescent="0.25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4"/>
    </row>
    <row r="101" spans="1:11" ht="12.5" x14ac:dyDescent="0.25">
      <c r="A101" s="12" t="s">
        <v>25</v>
      </c>
      <c r="B101" s="13">
        <v>32</v>
      </c>
      <c r="C101" s="13">
        <v>47</v>
      </c>
      <c r="D101" s="13">
        <v>7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4">
        <v>86</v>
      </c>
    </row>
    <row r="102" spans="1:11" ht="12.5" x14ac:dyDescent="0.25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4"/>
    </row>
    <row r="103" spans="1:11" ht="12.5" x14ac:dyDescent="0.25">
      <c r="A103" s="12" t="s">
        <v>26</v>
      </c>
      <c r="B103" s="13">
        <v>25</v>
      </c>
      <c r="C103" s="13">
        <v>35</v>
      </c>
      <c r="D103" s="13">
        <v>2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4">
        <v>62</v>
      </c>
    </row>
    <row r="104" spans="1:11" ht="12.5" x14ac:dyDescent="0.25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4"/>
    </row>
    <row r="105" spans="1:11" ht="12.5" x14ac:dyDescent="0.25">
      <c r="A105" s="12" t="s">
        <v>27</v>
      </c>
      <c r="B105" s="13">
        <v>10</v>
      </c>
      <c r="C105" s="13">
        <v>6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4">
        <v>16</v>
      </c>
    </row>
    <row r="106" spans="1:11" ht="12.5" x14ac:dyDescent="0.25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4"/>
    </row>
    <row r="107" spans="1:11" ht="12.5" x14ac:dyDescent="0.25">
      <c r="A107" s="12" t="s">
        <v>28</v>
      </c>
      <c r="B107" s="13">
        <v>6</v>
      </c>
      <c r="C107" s="13">
        <v>3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4">
        <v>9</v>
      </c>
    </row>
    <row r="108" spans="1:11" ht="12.5" x14ac:dyDescent="0.25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4"/>
    </row>
    <row r="109" spans="1:11" ht="12.5" x14ac:dyDescent="0.25">
      <c r="A109" s="12" t="s">
        <v>29</v>
      </c>
      <c r="B109" s="13">
        <v>13</v>
      </c>
      <c r="C109" s="13">
        <v>3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4">
        <v>16</v>
      </c>
    </row>
    <row r="110" spans="1:11" ht="12.5" x14ac:dyDescent="0.25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4"/>
    </row>
    <row r="111" spans="1:11" ht="12.5" x14ac:dyDescent="0.25">
      <c r="A111" s="12" t="s">
        <v>30</v>
      </c>
      <c r="B111" s="13">
        <v>13</v>
      </c>
      <c r="C111" s="13">
        <v>6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4">
        <v>19</v>
      </c>
    </row>
    <row r="112" spans="1:11" ht="12.5" x14ac:dyDescent="0.25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4"/>
    </row>
    <row r="113" spans="1:11" ht="12.5" x14ac:dyDescent="0.25">
      <c r="A113" s="12" t="s">
        <v>31</v>
      </c>
      <c r="B113" s="13">
        <v>36</v>
      </c>
      <c r="C113" s="13">
        <v>14</v>
      </c>
      <c r="D113" s="13">
        <v>2</v>
      </c>
      <c r="E113" s="13">
        <v>1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4">
        <v>53</v>
      </c>
    </row>
    <row r="114" spans="1:11" ht="12.5" x14ac:dyDescent="0.25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4"/>
    </row>
    <row r="115" spans="1:11" ht="12.5" x14ac:dyDescent="0.25">
      <c r="A115" s="12" t="s">
        <v>32</v>
      </c>
      <c r="B115" s="13">
        <v>15</v>
      </c>
      <c r="C115" s="13">
        <v>7</v>
      </c>
      <c r="D115" s="13">
        <v>3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4">
        <v>25</v>
      </c>
    </row>
    <row r="116" spans="1:11" ht="12.5" x14ac:dyDescent="0.25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4"/>
    </row>
    <row r="117" spans="1:11" ht="12.5" x14ac:dyDescent="0.25">
      <c r="A117" s="12" t="s">
        <v>33</v>
      </c>
      <c r="B117" s="13">
        <v>19</v>
      </c>
      <c r="C117" s="13">
        <v>8</v>
      </c>
      <c r="D117" s="13">
        <v>2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4">
        <v>29</v>
      </c>
    </row>
    <row r="118" spans="1:11" ht="12.5" x14ac:dyDescent="0.25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4"/>
    </row>
    <row r="119" spans="1:11" ht="12.5" x14ac:dyDescent="0.25">
      <c r="A119" s="12" t="s">
        <v>34</v>
      </c>
      <c r="B119" s="13">
        <v>50</v>
      </c>
      <c r="C119" s="13">
        <v>36</v>
      </c>
      <c r="D119" s="13">
        <v>0</v>
      </c>
      <c r="E119" s="13">
        <v>1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4">
        <v>87</v>
      </c>
    </row>
    <row r="120" spans="1:11" ht="12.5" x14ac:dyDescent="0.25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4"/>
    </row>
    <row r="121" spans="1:11" ht="12.5" x14ac:dyDescent="0.25">
      <c r="A121" s="12" t="s">
        <v>35</v>
      </c>
      <c r="B121" s="13">
        <v>105</v>
      </c>
      <c r="C121" s="13">
        <v>130</v>
      </c>
      <c r="D121" s="13">
        <v>18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4">
        <v>253</v>
      </c>
    </row>
    <row r="122" spans="1:11" ht="12.5" x14ac:dyDescent="0.25">
      <c r="A122" s="15"/>
      <c r="B122" s="14"/>
      <c r="C122" s="14"/>
      <c r="D122" s="14"/>
      <c r="E122" s="14"/>
      <c r="F122" s="14"/>
      <c r="G122" s="14"/>
      <c r="H122" s="14"/>
      <c r="I122" s="14"/>
      <c r="J122" s="14"/>
      <c r="K122" s="14"/>
    </row>
    <row r="123" spans="1:11" ht="12.5" x14ac:dyDescent="0.25">
      <c r="A123" s="63" t="s">
        <v>21</v>
      </c>
      <c r="B123" s="63">
        <v>351</v>
      </c>
      <c r="C123" s="63">
        <v>347</v>
      </c>
      <c r="D123" s="63">
        <v>40</v>
      </c>
      <c r="E123" s="63">
        <v>2</v>
      </c>
      <c r="F123" s="63">
        <v>0</v>
      </c>
      <c r="G123" s="63">
        <v>0</v>
      </c>
      <c r="H123" s="63">
        <v>0</v>
      </c>
      <c r="I123" s="63">
        <v>0</v>
      </c>
      <c r="J123" s="63">
        <v>0</v>
      </c>
      <c r="K123" s="63">
        <v>100</v>
      </c>
    </row>
    <row r="124" spans="1:11" ht="12.5" x14ac:dyDescent="0.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2.5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 spans="1:11" ht="12.5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65" t="s">
        <v>0</v>
      </c>
      <c r="B130" s="66"/>
      <c r="C130" s="66"/>
      <c r="D130" s="66"/>
      <c r="E130" s="66"/>
      <c r="F130" s="2"/>
      <c r="G130" s="2"/>
      <c r="H130" s="2"/>
      <c r="I130" s="2"/>
      <c r="J130" s="2"/>
      <c r="K130" s="2"/>
    </row>
    <row r="131" spans="1:11" ht="14" x14ac:dyDescent="0.3">
      <c r="A131" s="65" t="s">
        <v>1</v>
      </c>
      <c r="B131" s="66"/>
      <c r="C131" s="66"/>
      <c r="D131" s="2"/>
      <c r="E131" s="2"/>
      <c r="F131" s="2"/>
      <c r="G131" s="65" t="s">
        <v>37</v>
      </c>
      <c r="H131" s="66"/>
      <c r="I131" s="66"/>
      <c r="J131" s="1"/>
      <c r="K131" s="2"/>
    </row>
    <row r="132" spans="1:11" ht="14" x14ac:dyDescent="0.3">
      <c r="A132" s="65" t="s">
        <v>3</v>
      </c>
      <c r="B132" s="66"/>
      <c r="C132" s="66"/>
      <c r="D132" s="66"/>
      <c r="E132" s="66"/>
      <c r="F132" s="2"/>
      <c r="G132" s="65" t="s">
        <v>4</v>
      </c>
      <c r="H132" s="66"/>
      <c r="I132" s="66"/>
      <c r="J132" s="66"/>
      <c r="K132" s="2"/>
    </row>
    <row r="133" spans="1:11" ht="14" x14ac:dyDescent="0.3">
      <c r="A133" s="65" t="s">
        <v>5</v>
      </c>
      <c r="B133" s="66"/>
      <c r="C133" s="66"/>
      <c r="D133" s="66"/>
      <c r="E133" s="66"/>
      <c r="F133" s="2"/>
      <c r="G133" s="65" t="s">
        <v>6</v>
      </c>
      <c r="H133" s="66"/>
      <c r="I133" s="66"/>
      <c r="J133" s="6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60" t="s">
        <v>7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2"/>
    </row>
    <row r="136" spans="1:11" ht="14" x14ac:dyDescent="0.3">
      <c r="A136" s="67" t="s">
        <v>8</v>
      </c>
      <c r="B136" s="68"/>
      <c r="C136" s="68"/>
      <c r="D136" s="68"/>
      <c r="E136" s="68"/>
      <c r="F136" s="68"/>
      <c r="G136" s="68"/>
      <c r="H136" s="68"/>
      <c r="I136" s="68"/>
      <c r="J136" s="68"/>
      <c r="K136" s="69"/>
    </row>
    <row r="137" spans="1:11" ht="14" x14ac:dyDescent="0.3">
      <c r="A137" s="4" t="s">
        <v>9</v>
      </c>
      <c r="B137" s="5"/>
      <c r="C137" s="5"/>
      <c r="D137" s="5"/>
      <c r="E137" s="70" t="s">
        <v>10</v>
      </c>
      <c r="F137" s="71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2.5" x14ac:dyDescent="0.25">
      <c r="A139" s="9" t="s">
        <v>22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1">
        <v>-298</v>
      </c>
    </row>
    <row r="140" spans="1:11" ht="12.5" x14ac:dyDescent="0.25">
      <c r="A140" s="12" t="s">
        <v>23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4"/>
    </row>
    <row r="141" spans="1:11" ht="12.5" x14ac:dyDescent="0.25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4"/>
    </row>
    <row r="142" spans="1:11" ht="12.5" x14ac:dyDescent="0.25">
      <c r="A142" s="12" t="s">
        <v>24</v>
      </c>
      <c r="B142" s="13">
        <v>20</v>
      </c>
      <c r="C142" s="13">
        <v>35</v>
      </c>
      <c r="D142" s="13">
        <v>3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4">
        <v>58</v>
      </c>
    </row>
    <row r="143" spans="1:11" ht="12.5" x14ac:dyDescent="0.25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4"/>
    </row>
    <row r="144" spans="1:11" ht="12.5" x14ac:dyDescent="0.25">
      <c r="A144" s="12" t="s">
        <v>25</v>
      </c>
      <c r="B144" s="13">
        <v>47</v>
      </c>
      <c r="C144" s="13">
        <v>61</v>
      </c>
      <c r="D144" s="13">
        <v>2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110</v>
      </c>
    </row>
    <row r="145" spans="1:11" ht="12.5" x14ac:dyDescent="0.25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4"/>
    </row>
    <row r="146" spans="1:11" ht="12.5" x14ac:dyDescent="0.25">
      <c r="A146" s="12" t="s">
        <v>26</v>
      </c>
      <c r="B146" s="13">
        <v>26</v>
      </c>
      <c r="C146" s="13">
        <v>26</v>
      </c>
      <c r="D146" s="13">
        <v>3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55</v>
      </c>
    </row>
    <row r="147" spans="1:11" ht="12.5" x14ac:dyDescent="0.25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4"/>
    </row>
    <row r="148" spans="1:11" ht="12.5" x14ac:dyDescent="0.25">
      <c r="A148" s="12" t="s">
        <v>27</v>
      </c>
      <c r="B148" s="13">
        <v>3</v>
      </c>
      <c r="C148" s="13">
        <v>5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8</v>
      </c>
    </row>
    <row r="149" spans="1:11" ht="12.5" x14ac:dyDescent="0.25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4"/>
    </row>
    <row r="150" spans="1:11" ht="12.5" x14ac:dyDescent="0.25">
      <c r="A150" s="12" t="s">
        <v>28</v>
      </c>
      <c r="B150" s="13">
        <v>4</v>
      </c>
      <c r="C150" s="13">
        <v>1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5</v>
      </c>
    </row>
    <row r="151" spans="1:11" ht="12.5" x14ac:dyDescent="0.25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4"/>
    </row>
    <row r="152" spans="1:11" ht="12.5" x14ac:dyDescent="0.25">
      <c r="A152" s="12" t="s">
        <v>29</v>
      </c>
      <c r="B152" s="13">
        <v>7</v>
      </c>
      <c r="C152" s="13">
        <v>1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8</v>
      </c>
    </row>
    <row r="153" spans="1:11" ht="12.5" x14ac:dyDescent="0.25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4"/>
    </row>
    <row r="154" spans="1:11" ht="12.5" x14ac:dyDescent="0.25">
      <c r="A154" s="12" t="s">
        <v>30</v>
      </c>
      <c r="B154" s="13">
        <v>9</v>
      </c>
      <c r="C154" s="13">
        <v>2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11</v>
      </c>
    </row>
    <row r="155" spans="1:11" ht="12.5" x14ac:dyDescent="0.25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4"/>
    </row>
    <row r="156" spans="1:11" ht="12.5" x14ac:dyDescent="0.25">
      <c r="A156" s="12" t="s">
        <v>31</v>
      </c>
      <c r="B156" s="13">
        <v>21</v>
      </c>
      <c r="C156" s="13">
        <v>2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23</v>
      </c>
    </row>
    <row r="157" spans="1:11" ht="12.5" x14ac:dyDescent="0.25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4"/>
    </row>
    <row r="158" spans="1:11" ht="12.5" x14ac:dyDescent="0.25">
      <c r="A158" s="12" t="s">
        <v>32</v>
      </c>
      <c r="B158" s="13">
        <v>13</v>
      </c>
      <c r="C158" s="13">
        <v>2</v>
      </c>
      <c r="D158" s="13">
        <v>1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4">
        <v>16</v>
      </c>
    </row>
    <row r="159" spans="1:11" ht="12.5" x14ac:dyDescent="0.25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4"/>
    </row>
    <row r="160" spans="1:11" ht="12.5" x14ac:dyDescent="0.25">
      <c r="A160" s="12" t="s">
        <v>33</v>
      </c>
      <c r="B160" s="13">
        <v>7</v>
      </c>
      <c r="C160" s="13">
        <v>5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12</v>
      </c>
    </row>
    <row r="161" spans="1:11" ht="12.5" x14ac:dyDescent="0.25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4"/>
    </row>
    <row r="162" spans="1:11" ht="12.5" x14ac:dyDescent="0.25">
      <c r="A162" s="12" t="s">
        <v>34</v>
      </c>
      <c r="B162" s="13">
        <v>21</v>
      </c>
      <c r="C162" s="13">
        <v>8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29</v>
      </c>
    </row>
    <row r="163" spans="1:11" ht="12.5" x14ac:dyDescent="0.25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4"/>
    </row>
    <row r="164" spans="1:11" ht="12.5" x14ac:dyDescent="0.25">
      <c r="A164" s="12" t="s">
        <v>35</v>
      </c>
      <c r="B164" s="13">
        <v>29</v>
      </c>
      <c r="C164" s="13">
        <v>32</v>
      </c>
      <c r="D164" s="13">
        <v>2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63</v>
      </c>
    </row>
    <row r="165" spans="1:11" ht="12.5" x14ac:dyDescent="0.25">
      <c r="A165" s="15"/>
      <c r="B165" s="14"/>
      <c r="C165" s="14"/>
      <c r="D165" s="14"/>
      <c r="E165" s="14"/>
      <c r="F165" s="14"/>
      <c r="G165" s="14"/>
      <c r="H165" s="14"/>
      <c r="I165" s="14"/>
      <c r="J165" s="14"/>
      <c r="K165" s="14"/>
    </row>
    <row r="166" spans="1:11" ht="12.5" x14ac:dyDescent="0.25">
      <c r="A166" s="63" t="s">
        <v>21</v>
      </c>
      <c r="B166" s="63">
        <v>207</v>
      </c>
      <c r="C166" s="63">
        <v>180</v>
      </c>
      <c r="D166" s="63">
        <v>11</v>
      </c>
      <c r="E166" s="63">
        <v>0</v>
      </c>
      <c r="F166" s="63">
        <v>0</v>
      </c>
      <c r="G166" s="63">
        <v>0</v>
      </c>
      <c r="H166" s="63">
        <v>0</v>
      </c>
      <c r="I166" s="63">
        <v>0</v>
      </c>
      <c r="J166" s="63">
        <v>0</v>
      </c>
      <c r="K166" s="63">
        <v>100</v>
      </c>
    </row>
    <row r="167" spans="1:11" ht="12.5" x14ac:dyDescent="0.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</row>
    <row r="168" spans="1:11" ht="12.5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 spans="1:11" ht="12.5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65" t="s">
        <v>0</v>
      </c>
      <c r="B173" s="66"/>
      <c r="C173" s="66"/>
      <c r="D173" s="66"/>
      <c r="E173" s="66"/>
      <c r="F173" s="2"/>
      <c r="G173" s="2"/>
      <c r="H173" s="2"/>
      <c r="I173" s="2"/>
      <c r="J173" s="2"/>
      <c r="K173" s="2"/>
    </row>
    <row r="174" spans="1:11" ht="14" x14ac:dyDescent="0.3">
      <c r="A174" s="65" t="s">
        <v>1</v>
      </c>
      <c r="B174" s="66"/>
      <c r="C174" s="66"/>
      <c r="D174" s="2"/>
      <c r="E174" s="2"/>
      <c r="F174" s="2"/>
      <c r="G174" s="65" t="s">
        <v>38</v>
      </c>
      <c r="H174" s="66"/>
      <c r="I174" s="66"/>
      <c r="J174" s="1"/>
      <c r="K174" s="2"/>
    </row>
    <row r="175" spans="1:11" ht="14" x14ac:dyDescent="0.3">
      <c r="A175" s="65" t="s">
        <v>39</v>
      </c>
      <c r="B175" s="66"/>
      <c r="C175" s="66"/>
      <c r="D175" s="66"/>
      <c r="E175" s="66"/>
      <c r="F175" s="2"/>
      <c r="G175" s="65" t="s">
        <v>4</v>
      </c>
      <c r="H175" s="66"/>
      <c r="I175" s="66"/>
      <c r="J175" s="66"/>
      <c r="K175" s="2"/>
    </row>
    <row r="176" spans="1:11" ht="14" x14ac:dyDescent="0.3">
      <c r="A176" s="65" t="s">
        <v>5</v>
      </c>
      <c r="B176" s="66"/>
      <c r="C176" s="66"/>
      <c r="D176" s="66"/>
      <c r="E176" s="66"/>
      <c r="F176" s="2"/>
      <c r="G176" s="65" t="s">
        <v>6</v>
      </c>
      <c r="H176" s="66"/>
      <c r="I176" s="66"/>
      <c r="J176" s="6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60" t="s">
        <v>7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2"/>
    </row>
    <row r="179" spans="1:11" ht="14" x14ac:dyDescent="0.3">
      <c r="A179" s="67" t="s">
        <v>8</v>
      </c>
      <c r="B179" s="68"/>
      <c r="C179" s="68"/>
      <c r="D179" s="68"/>
      <c r="E179" s="68"/>
      <c r="F179" s="68"/>
      <c r="G179" s="68"/>
      <c r="H179" s="68"/>
      <c r="I179" s="68"/>
      <c r="J179" s="68"/>
      <c r="K179" s="69"/>
    </row>
    <row r="180" spans="1:11" ht="14" x14ac:dyDescent="0.3">
      <c r="A180" s="4" t="s">
        <v>9</v>
      </c>
      <c r="B180" s="5"/>
      <c r="C180" s="5"/>
      <c r="D180" s="5"/>
      <c r="E180" s="70" t="s">
        <v>10</v>
      </c>
      <c r="F180" s="71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2.5" x14ac:dyDescent="0.25">
      <c r="A182" s="9" t="s">
        <v>22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1">
        <v>303</v>
      </c>
    </row>
    <row r="183" spans="1:11" ht="12.5" x14ac:dyDescent="0.25">
      <c r="A183" s="12" t="s">
        <v>23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4"/>
    </row>
    <row r="184" spans="1:11" ht="12.5" x14ac:dyDescent="0.25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4"/>
    </row>
    <row r="185" spans="1:11" ht="12.5" x14ac:dyDescent="0.25">
      <c r="A185" s="12" t="s">
        <v>24</v>
      </c>
      <c r="B185" s="13">
        <v>28</v>
      </c>
      <c r="C185" s="13">
        <v>26</v>
      </c>
      <c r="D185" s="13">
        <v>1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4">
        <v>55</v>
      </c>
    </row>
    <row r="186" spans="1:11" ht="12.5" x14ac:dyDescent="0.25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4"/>
    </row>
    <row r="187" spans="1:11" ht="12.5" x14ac:dyDescent="0.25">
      <c r="A187" s="12" t="s">
        <v>25</v>
      </c>
      <c r="B187" s="13">
        <v>64</v>
      </c>
      <c r="C187" s="13">
        <v>45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4">
        <v>109</v>
      </c>
    </row>
    <row r="188" spans="1:11" ht="12.5" x14ac:dyDescent="0.25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4"/>
    </row>
    <row r="189" spans="1:11" ht="12.5" x14ac:dyDescent="0.25">
      <c r="A189" s="12" t="s">
        <v>26</v>
      </c>
      <c r="B189" s="13">
        <v>48</v>
      </c>
      <c r="C189" s="13">
        <v>32</v>
      </c>
      <c r="D189" s="13">
        <v>1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4">
        <v>81</v>
      </c>
    </row>
    <row r="190" spans="1:11" ht="12.5" x14ac:dyDescent="0.25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4"/>
    </row>
    <row r="191" spans="1:11" ht="12.5" x14ac:dyDescent="0.25">
      <c r="A191" s="12" t="s">
        <v>27</v>
      </c>
      <c r="B191" s="13">
        <v>13</v>
      </c>
      <c r="C191" s="13">
        <v>5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4">
        <v>18</v>
      </c>
    </row>
    <row r="192" spans="1:11" ht="12.5" x14ac:dyDescent="0.25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4"/>
    </row>
    <row r="193" spans="1:11" ht="12.5" x14ac:dyDescent="0.25">
      <c r="A193" s="12" t="s">
        <v>28</v>
      </c>
      <c r="B193" s="13">
        <v>4</v>
      </c>
      <c r="C193" s="13">
        <v>1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 s="14">
        <v>5</v>
      </c>
    </row>
    <row r="194" spans="1:11" ht="12.5" x14ac:dyDescent="0.25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4"/>
    </row>
    <row r="195" spans="1:11" ht="12.5" x14ac:dyDescent="0.25">
      <c r="A195" s="12" t="s">
        <v>29</v>
      </c>
      <c r="B195" s="13">
        <v>6</v>
      </c>
      <c r="C195" s="13">
        <v>1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4">
        <v>7</v>
      </c>
    </row>
    <row r="196" spans="1:11" ht="12.5" x14ac:dyDescent="0.25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4"/>
    </row>
    <row r="197" spans="1:11" ht="12.5" x14ac:dyDescent="0.25">
      <c r="A197" s="12" t="s">
        <v>30</v>
      </c>
      <c r="B197" s="13">
        <v>9</v>
      </c>
      <c r="C197" s="13">
        <v>2</v>
      </c>
      <c r="D197" s="13">
        <v>0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4">
        <v>11</v>
      </c>
    </row>
    <row r="198" spans="1:11" ht="12.5" x14ac:dyDescent="0.25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4"/>
    </row>
    <row r="199" spans="1:11" ht="12.5" x14ac:dyDescent="0.25">
      <c r="A199" s="12" t="s">
        <v>31</v>
      </c>
      <c r="B199" s="13">
        <v>31</v>
      </c>
      <c r="C199" s="13">
        <v>4</v>
      </c>
      <c r="D199" s="13">
        <v>0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4">
        <v>35</v>
      </c>
    </row>
    <row r="200" spans="1:11" ht="12.5" x14ac:dyDescent="0.25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4"/>
    </row>
    <row r="201" spans="1:11" ht="12.5" x14ac:dyDescent="0.25">
      <c r="A201" s="12" t="s">
        <v>32</v>
      </c>
      <c r="B201" s="13">
        <v>19</v>
      </c>
      <c r="C201" s="13">
        <v>1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4">
        <v>20</v>
      </c>
    </row>
    <row r="202" spans="1:11" ht="12.5" x14ac:dyDescent="0.25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4"/>
    </row>
    <row r="203" spans="1:11" ht="15.75" customHeight="1" x14ac:dyDescent="0.25">
      <c r="A203" s="12" t="s">
        <v>33</v>
      </c>
      <c r="B203" s="13">
        <v>18</v>
      </c>
      <c r="C203" s="13">
        <v>2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4">
        <v>20</v>
      </c>
    </row>
    <row r="204" spans="1:11" ht="15.75" customHeight="1" x14ac:dyDescent="0.25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4"/>
    </row>
    <row r="205" spans="1:11" ht="15.75" customHeight="1" x14ac:dyDescent="0.25">
      <c r="A205" s="12" t="s">
        <v>34</v>
      </c>
      <c r="B205" s="13">
        <v>22</v>
      </c>
      <c r="C205" s="13">
        <v>5</v>
      </c>
      <c r="D205" s="13">
        <v>1</v>
      </c>
      <c r="E205" s="13">
        <v>0</v>
      </c>
      <c r="F205" s="13">
        <v>0</v>
      </c>
      <c r="G205" s="13">
        <v>0</v>
      </c>
      <c r="H205" s="13">
        <v>0</v>
      </c>
      <c r="I205" s="13">
        <v>0</v>
      </c>
      <c r="J205" s="13">
        <v>0</v>
      </c>
      <c r="K205" s="14">
        <v>28</v>
      </c>
    </row>
    <row r="206" spans="1:11" ht="15.75" customHeight="1" x14ac:dyDescent="0.25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4"/>
    </row>
    <row r="207" spans="1:11" ht="15.75" customHeight="1" x14ac:dyDescent="0.25">
      <c r="A207" s="12" t="s">
        <v>35</v>
      </c>
      <c r="B207" s="13">
        <v>31</v>
      </c>
      <c r="C207" s="13">
        <v>21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4">
        <v>52</v>
      </c>
    </row>
    <row r="208" spans="1:11" ht="15.75" customHeight="1" x14ac:dyDescent="0.25">
      <c r="A208" s="15"/>
      <c r="B208" s="14"/>
      <c r="C208" s="14"/>
      <c r="D208" s="14"/>
      <c r="E208" s="14"/>
      <c r="F208" s="14"/>
      <c r="G208" s="14"/>
      <c r="H208" s="14"/>
      <c r="I208" s="14"/>
      <c r="J208" s="14"/>
      <c r="K208" s="14"/>
    </row>
    <row r="209" spans="1:11" ht="15.75" customHeight="1" x14ac:dyDescent="0.25">
      <c r="A209" s="63" t="s">
        <v>21</v>
      </c>
      <c r="B209" s="63">
        <v>293</v>
      </c>
      <c r="C209" s="63">
        <v>145</v>
      </c>
      <c r="D209" s="63">
        <v>3</v>
      </c>
      <c r="E209" s="63">
        <v>0</v>
      </c>
      <c r="F209" s="63">
        <v>0</v>
      </c>
      <c r="G209" s="63">
        <v>0</v>
      </c>
      <c r="H209" s="63">
        <v>0</v>
      </c>
      <c r="I209" s="63">
        <v>0</v>
      </c>
      <c r="J209" s="63">
        <v>0</v>
      </c>
      <c r="K209" s="63">
        <v>744</v>
      </c>
    </row>
    <row r="210" spans="1:11" ht="15.75" customHeight="1" x14ac:dyDescent="0.2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</row>
    <row r="211" spans="1:11" ht="15.75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</row>
    <row r="212" spans="1:11" ht="15.75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65" t="s">
        <v>0</v>
      </c>
      <c r="B216" s="66"/>
      <c r="C216" s="66"/>
      <c r="D216" s="66"/>
      <c r="E216" s="66"/>
      <c r="F216" s="2"/>
      <c r="G216" s="2"/>
      <c r="H216" s="2"/>
      <c r="I216" s="2"/>
      <c r="J216" s="2"/>
      <c r="K216" s="2"/>
    </row>
    <row r="217" spans="1:11" ht="15.75" customHeight="1" x14ac:dyDescent="0.3">
      <c r="A217" s="65" t="s">
        <v>1</v>
      </c>
      <c r="B217" s="66"/>
      <c r="C217" s="66"/>
      <c r="D217" s="2"/>
      <c r="E217" s="2"/>
      <c r="F217" s="2"/>
      <c r="G217" s="65" t="s">
        <v>87</v>
      </c>
      <c r="H217" s="66"/>
      <c r="I217" s="66"/>
      <c r="J217" s="1"/>
      <c r="K217" s="2"/>
    </row>
    <row r="218" spans="1:11" ht="15.75" customHeight="1" x14ac:dyDescent="0.3">
      <c r="A218" s="65" t="s">
        <v>39</v>
      </c>
      <c r="B218" s="66"/>
      <c r="C218" s="66"/>
      <c r="D218" s="66"/>
      <c r="E218" s="66"/>
      <c r="F218" s="2"/>
      <c r="G218" s="65" t="s">
        <v>4</v>
      </c>
      <c r="H218" s="66"/>
      <c r="I218" s="66"/>
      <c r="J218" s="66"/>
      <c r="K218" s="2"/>
    </row>
    <row r="219" spans="1:11" ht="15.75" customHeight="1" x14ac:dyDescent="0.3">
      <c r="A219" s="65" t="s">
        <v>5</v>
      </c>
      <c r="B219" s="66"/>
      <c r="C219" s="66"/>
      <c r="D219" s="66"/>
      <c r="E219" s="66"/>
      <c r="F219" s="2"/>
      <c r="G219" s="65" t="s">
        <v>6</v>
      </c>
      <c r="H219" s="66"/>
      <c r="I219" s="66"/>
      <c r="J219" s="6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60" t="s">
        <v>7</v>
      </c>
      <c r="B221" s="61"/>
      <c r="C221" s="61"/>
      <c r="D221" s="61"/>
      <c r="E221" s="61"/>
      <c r="F221" s="61"/>
      <c r="G221" s="61"/>
      <c r="H221" s="61"/>
      <c r="I221" s="61"/>
      <c r="J221" s="61"/>
      <c r="K221" s="62"/>
    </row>
    <row r="222" spans="1:11" ht="15.75" customHeight="1" x14ac:dyDescent="0.3">
      <c r="A222" s="67" t="s">
        <v>8</v>
      </c>
      <c r="B222" s="68"/>
      <c r="C222" s="68"/>
      <c r="D222" s="68"/>
      <c r="E222" s="68"/>
      <c r="F222" s="68"/>
      <c r="G222" s="68"/>
      <c r="H222" s="68"/>
      <c r="I222" s="68"/>
      <c r="J222" s="68"/>
      <c r="K222" s="69"/>
    </row>
    <row r="223" spans="1:11" ht="15.75" customHeight="1" x14ac:dyDescent="0.3">
      <c r="A223" s="4" t="s">
        <v>9</v>
      </c>
      <c r="B223" s="5"/>
      <c r="C223" s="5"/>
      <c r="D223" s="5"/>
      <c r="E223" s="70" t="s">
        <v>10</v>
      </c>
      <c r="F223" s="71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25">
      <c r="A225" s="9" t="s">
        <v>22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1">
        <f>(K10+K53+K96+K139+K182)/5</f>
        <v>-213</v>
      </c>
    </row>
    <row r="226" spans="1:11" ht="15.75" customHeight="1" x14ac:dyDescent="0.25">
      <c r="A226" s="12" t="s">
        <v>23</v>
      </c>
      <c r="B226" s="13"/>
      <c r="C226" s="13"/>
      <c r="D226" s="13"/>
      <c r="E226" s="13"/>
      <c r="F226" s="13"/>
      <c r="G226" s="13"/>
      <c r="H226" s="13"/>
      <c r="I226" s="13"/>
      <c r="J226" s="13"/>
      <c r="K226" s="11"/>
    </row>
    <row r="227" spans="1:11" ht="15.75" customHeight="1" x14ac:dyDescent="0.25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1"/>
    </row>
    <row r="228" spans="1:11" ht="15.75" customHeight="1" x14ac:dyDescent="0.25">
      <c r="A228" s="12" t="s">
        <v>24</v>
      </c>
      <c r="B228" s="13">
        <f>(B13+B56+B99+B142+B185)/5</f>
        <v>16.2</v>
      </c>
      <c r="C228" s="13">
        <f t="shared" ref="C228:J228" si="1">(C13+C56+C99+C142+C185)/5</f>
        <v>32.799999999999997</v>
      </c>
      <c r="D228" s="13">
        <f t="shared" si="1"/>
        <v>3.6</v>
      </c>
      <c r="E228" s="13">
        <f t="shared" si="1"/>
        <v>0</v>
      </c>
      <c r="F228" s="13">
        <f t="shared" si="1"/>
        <v>0</v>
      </c>
      <c r="G228" s="13">
        <f t="shared" si="1"/>
        <v>0</v>
      </c>
      <c r="H228" s="13">
        <f t="shared" si="1"/>
        <v>0</v>
      </c>
      <c r="I228" s="13">
        <f t="shared" si="1"/>
        <v>0</v>
      </c>
      <c r="J228" s="13">
        <f t="shared" si="1"/>
        <v>0</v>
      </c>
      <c r="K228" s="11">
        <f t="shared" ref="K228:K250" si="2">(K13+K56+K99+K142+K185)/5</f>
        <v>52.6</v>
      </c>
    </row>
    <row r="229" spans="1:11" ht="15.75" customHeight="1" x14ac:dyDescent="0.25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1"/>
    </row>
    <row r="230" spans="1:11" ht="15.75" customHeight="1" x14ac:dyDescent="0.25">
      <c r="A230" s="12" t="s">
        <v>25</v>
      </c>
      <c r="B230" s="13">
        <f t="shared" ref="B230:J250" si="3">(B15+B58+B101+B144+B187)/5</f>
        <v>41.8</v>
      </c>
      <c r="C230" s="13">
        <f t="shared" si="3"/>
        <v>48.6</v>
      </c>
      <c r="D230" s="13">
        <f t="shared" si="3"/>
        <v>2.6</v>
      </c>
      <c r="E230" s="13">
        <f t="shared" si="3"/>
        <v>0</v>
      </c>
      <c r="F230" s="13">
        <f t="shared" si="3"/>
        <v>0</v>
      </c>
      <c r="G230" s="13">
        <f t="shared" si="3"/>
        <v>0</v>
      </c>
      <c r="H230" s="13">
        <f t="shared" si="3"/>
        <v>0</v>
      </c>
      <c r="I230" s="13">
        <f t="shared" si="3"/>
        <v>0</v>
      </c>
      <c r="J230" s="13">
        <f t="shared" si="3"/>
        <v>0</v>
      </c>
      <c r="K230" s="11">
        <f t="shared" si="2"/>
        <v>93</v>
      </c>
    </row>
    <row r="231" spans="1:11" ht="15.75" customHeight="1" x14ac:dyDescent="0.25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1"/>
    </row>
    <row r="232" spans="1:11" ht="15.75" customHeight="1" x14ac:dyDescent="0.25">
      <c r="A232" s="12" t="s">
        <v>26</v>
      </c>
      <c r="B232" s="13">
        <f t="shared" si="3"/>
        <v>30.2</v>
      </c>
      <c r="C232" s="13">
        <f t="shared" si="3"/>
        <v>26.6</v>
      </c>
      <c r="D232" s="13">
        <f t="shared" si="3"/>
        <v>2</v>
      </c>
      <c r="E232" s="13">
        <f t="shared" si="3"/>
        <v>0</v>
      </c>
      <c r="F232" s="13">
        <f t="shared" si="3"/>
        <v>0</v>
      </c>
      <c r="G232" s="13">
        <f t="shared" si="3"/>
        <v>0</v>
      </c>
      <c r="H232" s="13">
        <f t="shared" si="3"/>
        <v>0</v>
      </c>
      <c r="I232" s="13">
        <f t="shared" si="3"/>
        <v>0</v>
      </c>
      <c r="J232" s="13">
        <f t="shared" si="3"/>
        <v>0</v>
      </c>
      <c r="K232" s="11">
        <f t="shared" si="2"/>
        <v>58.8</v>
      </c>
    </row>
    <row r="233" spans="1:11" ht="15.75" customHeight="1" x14ac:dyDescent="0.25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1"/>
    </row>
    <row r="234" spans="1:11" ht="15.75" customHeight="1" x14ac:dyDescent="0.25">
      <c r="A234" s="12" t="s">
        <v>27</v>
      </c>
      <c r="B234" s="13">
        <f t="shared" si="3"/>
        <v>8.4</v>
      </c>
      <c r="C234" s="13">
        <f t="shared" si="3"/>
        <v>4.2</v>
      </c>
      <c r="D234" s="13">
        <f t="shared" si="3"/>
        <v>0</v>
      </c>
      <c r="E234" s="13">
        <f t="shared" si="3"/>
        <v>0</v>
      </c>
      <c r="F234" s="13">
        <f t="shared" si="3"/>
        <v>0</v>
      </c>
      <c r="G234" s="13">
        <f t="shared" si="3"/>
        <v>0</v>
      </c>
      <c r="H234" s="13">
        <f t="shared" si="3"/>
        <v>0</v>
      </c>
      <c r="I234" s="13">
        <f t="shared" si="3"/>
        <v>0</v>
      </c>
      <c r="J234" s="13">
        <f t="shared" si="3"/>
        <v>0</v>
      </c>
      <c r="K234" s="11">
        <f t="shared" si="2"/>
        <v>12.6</v>
      </c>
    </row>
    <row r="235" spans="1:11" ht="15.75" customHeight="1" x14ac:dyDescent="0.25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1"/>
    </row>
    <row r="236" spans="1:11" ht="15.75" customHeight="1" x14ac:dyDescent="0.25">
      <c r="A236" s="12" t="s">
        <v>28</v>
      </c>
      <c r="B236" s="13">
        <f t="shared" si="3"/>
        <v>4.4000000000000004</v>
      </c>
      <c r="C236" s="13">
        <f t="shared" si="3"/>
        <v>1.4</v>
      </c>
      <c r="D236" s="13">
        <f t="shared" si="3"/>
        <v>0</v>
      </c>
      <c r="E236" s="13">
        <f t="shared" si="3"/>
        <v>0</v>
      </c>
      <c r="F236" s="13">
        <f t="shared" si="3"/>
        <v>0</v>
      </c>
      <c r="G236" s="13">
        <f t="shared" si="3"/>
        <v>0</v>
      </c>
      <c r="H236" s="13">
        <f t="shared" si="3"/>
        <v>0</v>
      </c>
      <c r="I236" s="13">
        <f t="shared" si="3"/>
        <v>0</v>
      </c>
      <c r="J236" s="13">
        <f t="shared" si="3"/>
        <v>0</v>
      </c>
      <c r="K236" s="11">
        <f t="shared" si="2"/>
        <v>5.8</v>
      </c>
    </row>
    <row r="237" spans="1:11" ht="15.75" customHeight="1" x14ac:dyDescent="0.25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1"/>
    </row>
    <row r="238" spans="1:11" ht="15.75" customHeight="1" x14ac:dyDescent="0.25">
      <c r="A238" s="12" t="s">
        <v>29</v>
      </c>
      <c r="B238" s="13">
        <f t="shared" si="3"/>
        <v>6.2</v>
      </c>
      <c r="C238" s="13">
        <f t="shared" si="3"/>
        <v>1.2</v>
      </c>
      <c r="D238" s="13">
        <f t="shared" si="3"/>
        <v>0</v>
      </c>
      <c r="E238" s="13">
        <f t="shared" si="3"/>
        <v>0</v>
      </c>
      <c r="F238" s="13">
        <f t="shared" si="3"/>
        <v>0</v>
      </c>
      <c r="G238" s="13">
        <f t="shared" si="3"/>
        <v>0</v>
      </c>
      <c r="H238" s="13">
        <f t="shared" si="3"/>
        <v>0</v>
      </c>
      <c r="I238" s="13">
        <f t="shared" si="3"/>
        <v>0</v>
      </c>
      <c r="J238" s="13">
        <f t="shared" si="3"/>
        <v>0</v>
      </c>
      <c r="K238" s="11">
        <f t="shared" si="2"/>
        <v>7.4</v>
      </c>
    </row>
    <row r="239" spans="1:11" ht="15.75" customHeight="1" x14ac:dyDescent="0.25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1"/>
    </row>
    <row r="240" spans="1:11" ht="15.75" customHeight="1" x14ac:dyDescent="0.25">
      <c r="A240" s="12" t="s">
        <v>30</v>
      </c>
      <c r="B240" s="13">
        <f t="shared" si="3"/>
        <v>8.6</v>
      </c>
      <c r="C240" s="13">
        <f t="shared" si="3"/>
        <v>3.2</v>
      </c>
      <c r="D240" s="13">
        <f t="shared" si="3"/>
        <v>0</v>
      </c>
      <c r="E240" s="13">
        <f t="shared" si="3"/>
        <v>0</v>
      </c>
      <c r="F240" s="13">
        <f t="shared" si="3"/>
        <v>0</v>
      </c>
      <c r="G240" s="13">
        <f t="shared" si="3"/>
        <v>0</v>
      </c>
      <c r="H240" s="13">
        <f t="shared" si="3"/>
        <v>0</v>
      </c>
      <c r="I240" s="13">
        <f t="shared" si="3"/>
        <v>0</v>
      </c>
      <c r="J240" s="13">
        <f t="shared" si="3"/>
        <v>0</v>
      </c>
      <c r="K240" s="11">
        <f t="shared" si="2"/>
        <v>11.8</v>
      </c>
    </row>
    <row r="241" spans="1:11" ht="15.75" customHeight="1" x14ac:dyDescent="0.25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1"/>
    </row>
    <row r="242" spans="1:11" ht="15.75" customHeight="1" x14ac:dyDescent="0.25">
      <c r="A242" s="12" t="s">
        <v>31</v>
      </c>
      <c r="B242" s="13">
        <f t="shared" si="3"/>
        <v>22</v>
      </c>
      <c r="C242" s="13">
        <f t="shared" si="3"/>
        <v>5.6</v>
      </c>
      <c r="D242" s="13">
        <f t="shared" si="3"/>
        <v>0.4</v>
      </c>
      <c r="E242" s="13">
        <f t="shared" si="3"/>
        <v>0.2</v>
      </c>
      <c r="F242" s="13">
        <f t="shared" si="3"/>
        <v>0</v>
      </c>
      <c r="G242" s="13">
        <f t="shared" si="3"/>
        <v>0</v>
      </c>
      <c r="H242" s="13">
        <f t="shared" si="3"/>
        <v>0</v>
      </c>
      <c r="I242" s="13">
        <f t="shared" si="3"/>
        <v>0</v>
      </c>
      <c r="J242" s="13">
        <f t="shared" si="3"/>
        <v>0</v>
      </c>
      <c r="K242" s="11">
        <f t="shared" si="2"/>
        <v>28.2</v>
      </c>
    </row>
    <row r="243" spans="1:11" ht="15.75" customHeight="1" x14ac:dyDescent="0.25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1"/>
    </row>
    <row r="244" spans="1:11" ht="15.75" customHeight="1" x14ac:dyDescent="0.25">
      <c r="A244" s="12" t="s">
        <v>32</v>
      </c>
      <c r="B244" s="13">
        <f t="shared" si="3"/>
        <v>11.8</v>
      </c>
      <c r="C244" s="13">
        <f t="shared" si="3"/>
        <v>4</v>
      </c>
      <c r="D244" s="13">
        <f t="shared" si="3"/>
        <v>0.8</v>
      </c>
      <c r="E244" s="13">
        <f t="shared" si="3"/>
        <v>0</v>
      </c>
      <c r="F244" s="13">
        <f t="shared" si="3"/>
        <v>0</v>
      </c>
      <c r="G244" s="13">
        <f t="shared" si="3"/>
        <v>0</v>
      </c>
      <c r="H244" s="13">
        <f t="shared" si="3"/>
        <v>0</v>
      </c>
      <c r="I244" s="13">
        <f t="shared" si="3"/>
        <v>0</v>
      </c>
      <c r="J244" s="13">
        <f t="shared" si="3"/>
        <v>0</v>
      </c>
      <c r="K244" s="11">
        <f t="shared" si="2"/>
        <v>16.600000000000001</v>
      </c>
    </row>
    <row r="245" spans="1:11" ht="15.75" customHeight="1" x14ac:dyDescent="0.25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1"/>
    </row>
    <row r="246" spans="1:11" ht="15.75" customHeight="1" x14ac:dyDescent="0.25">
      <c r="A246" s="12" t="s">
        <v>33</v>
      </c>
      <c r="B246" s="13">
        <f t="shared" si="3"/>
        <v>11.4</v>
      </c>
      <c r="C246" s="13">
        <f t="shared" si="3"/>
        <v>4.5999999999999996</v>
      </c>
      <c r="D246" s="13">
        <f t="shared" si="3"/>
        <v>0.4</v>
      </c>
      <c r="E246" s="13">
        <f t="shared" si="3"/>
        <v>0</v>
      </c>
      <c r="F246" s="13">
        <f t="shared" si="3"/>
        <v>0</v>
      </c>
      <c r="G246" s="13">
        <f t="shared" si="3"/>
        <v>0</v>
      </c>
      <c r="H246" s="13">
        <f t="shared" si="3"/>
        <v>0</v>
      </c>
      <c r="I246" s="13">
        <f t="shared" si="3"/>
        <v>0</v>
      </c>
      <c r="J246" s="13">
        <f t="shared" si="3"/>
        <v>0</v>
      </c>
      <c r="K246" s="11">
        <f t="shared" si="2"/>
        <v>16.399999999999999</v>
      </c>
    </row>
    <row r="247" spans="1:11" ht="15.75" customHeight="1" x14ac:dyDescent="0.25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1"/>
    </row>
    <row r="248" spans="1:11" ht="15.75" customHeight="1" x14ac:dyDescent="0.25">
      <c r="A248" s="12" t="s">
        <v>34</v>
      </c>
      <c r="B248" s="13">
        <f t="shared" si="3"/>
        <v>24</v>
      </c>
      <c r="C248" s="13">
        <f t="shared" si="3"/>
        <v>14.6</v>
      </c>
      <c r="D248" s="13">
        <f t="shared" si="3"/>
        <v>0.6</v>
      </c>
      <c r="E248" s="13">
        <f t="shared" si="3"/>
        <v>0.2</v>
      </c>
      <c r="F248" s="13">
        <f t="shared" si="3"/>
        <v>0</v>
      </c>
      <c r="G248" s="13">
        <f t="shared" si="3"/>
        <v>0</v>
      </c>
      <c r="H248" s="13">
        <f t="shared" si="3"/>
        <v>0</v>
      </c>
      <c r="I248" s="13">
        <f t="shared" si="3"/>
        <v>0</v>
      </c>
      <c r="J248" s="13">
        <f t="shared" si="3"/>
        <v>0</v>
      </c>
      <c r="K248" s="11">
        <f t="shared" si="2"/>
        <v>39.4</v>
      </c>
    </row>
    <row r="249" spans="1:11" ht="15.75" customHeight="1" x14ac:dyDescent="0.25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1"/>
    </row>
    <row r="250" spans="1:11" ht="15.75" customHeight="1" x14ac:dyDescent="0.25">
      <c r="A250" s="12" t="s">
        <v>35</v>
      </c>
      <c r="B250" s="13">
        <f t="shared" si="3"/>
        <v>41.6</v>
      </c>
      <c r="C250" s="13">
        <f t="shared" si="3"/>
        <v>51</v>
      </c>
      <c r="D250" s="13">
        <f t="shared" si="3"/>
        <v>6.4</v>
      </c>
      <c r="E250" s="13">
        <f t="shared" si="3"/>
        <v>0.2</v>
      </c>
      <c r="F250" s="13">
        <f t="shared" si="3"/>
        <v>0</v>
      </c>
      <c r="G250" s="13">
        <f t="shared" si="3"/>
        <v>0</v>
      </c>
      <c r="H250" s="13">
        <f t="shared" si="3"/>
        <v>0</v>
      </c>
      <c r="I250" s="13">
        <f t="shared" si="3"/>
        <v>0</v>
      </c>
      <c r="J250" s="13">
        <f t="shared" si="3"/>
        <v>0</v>
      </c>
      <c r="K250" s="11">
        <f t="shared" si="2"/>
        <v>99.2</v>
      </c>
    </row>
    <row r="251" spans="1:11" ht="15.75" customHeight="1" x14ac:dyDescent="0.25">
      <c r="A251" s="15"/>
      <c r="B251" s="14"/>
      <c r="C251" s="14"/>
      <c r="D251" s="14"/>
      <c r="E251" s="14"/>
      <c r="F251" s="14"/>
      <c r="G251" s="14"/>
      <c r="H251" s="14"/>
      <c r="I251" s="14"/>
      <c r="J251" s="14"/>
      <c r="K251" s="14"/>
    </row>
    <row r="252" spans="1:11" ht="15.75" customHeight="1" x14ac:dyDescent="0.25">
      <c r="A252" s="63" t="s">
        <v>21</v>
      </c>
      <c r="B252" s="63">
        <f>SUM(B228:B250)</f>
        <v>226.60000000000002</v>
      </c>
      <c r="C252" s="63">
        <f t="shared" ref="C252:J252" si="4">SUM(C228:C250)</f>
        <v>197.8</v>
      </c>
      <c r="D252" s="63">
        <f t="shared" si="4"/>
        <v>16.8</v>
      </c>
      <c r="E252" s="63">
        <f t="shared" si="4"/>
        <v>0.60000000000000009</v>
      </c>
      <c r="F252" s="63">
        <f t="shared" si="4"/>
        <v>0</v>
      </c>
      <c r="G252" s="63">
        <f t="shared" si="4"/>
        <v>0</v>
      </c>
      <c r="H252" s="63">
        <f t="shared" si="4"/>
        <v>0</v>
      </c>
      <c r="I252" s="63">
        <f t="shared" si="4"/>
        <v>0</v>
      </c>
      <c r="J252" s="63">
        <f t="shared" si="4"/>
        <v>0</v>
      </c>
      <c r="K252" s="63">
        <f>SUM(K225:K251)</f>
        <v>228.8</v>
      </c>
    </row>
    <row r="253" spans="1:11" ht="15.75" customHeight="1" x14ac:dyDescent="0.2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</row>
  </sheetData>
  <mergeCells count="118">
    <mergeCell ref="A4:E4"/>
    <mergeCell ref="G4:J4"/>
    <mergeCell ref="G37:G38"/>
    <mergeCell ref="H37:H38"/>
    <mergeCell ref="A1:E1"/>
    <mergeCell ref="A2:C2"/>
    <mergeCell ref="G2:I2"/>
    <mergeCell ref="A3:E3"/>
    <mergeCell ref="G3:J3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173:E173"/>
    <mergeCell ref="A174:C174"/>
    <mergeCell ref="G174:I174"/>
    <mergeCell ref="A175:E175"/>
    <mergeCell ref="A176:E176"/>
    <mergeCell ref="A136:K136"/>
    <mergeCell ref="E137:F137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J167"/>
    <mergeCell ref="K166:K167"/>
    <mergeCell ref="G175:J175"/>
    <mergeCell ref="G176:J176"/>
    <mergeCell ref="J209:J210"/>
    <mergeCell ref="A178:K178"/>
    <mergeCell ref="A179:K179"/>
    <mergeCell ref="E180:F180"/>
    <mergeCell ref="A209:A210"/>
    <mergeCell ref="B209:B210"/>
    <mergeCell ref="K209:K210"/>
    <mergeCell ref="C209:C210"/>
    <mergeCell ref="D209:D210"/>
    <mergeCell ref="E209:E210"/>
    <mergeCell ref="F209:F210"/>
    <mergeCell ref="G209:G210"/>
    <mergeCell ref="H209:H210"/>
    <mergeCell ref="I209:I210"/>
    <mergeCell ref="A130:E130"/>
    <mergeCell ref="A131:C131"/>
    <mergeCell ref="A132:E132"/>
    <mergeCell ref="A133:E133"/>
    <mergeCell ref="A135:K135"/>
    <mergeCell ref="A92:K92"/>
    <mergeCell ref="A93:K93"/>
    <mergeCell ref="E94:F94"/>
    <mergeCell ref="A123:A124"/>
    <mergeCell ref="B123:B124"/>
    <mergeCell ref="C123:C124"/>
    <mergeCell ref="D123:D124"/>
    <mergeCell ref="K123:K124"/>
    <mergeCell ref="E123:E124"/>
    <mergeCell ref="F123:F124"/>
    <mergeCell ref="G123:G124"/>
    <mergeCell ref="H123:H124"/>
    <mergeCell ref="G131:I131"/>
    <mergeCell ref="G132:J132"/>
    <mergeCell ref="G133:J133"/>
    <mergeCell ref="I123:I124"/>
    <mergeCell ref="J123:J124"/>
    <mergeCell ref="I252:I253"/>
    <mergeCell ref="J252:J253"/>
    <mergeCell ref="A252:A253"/>
    <mergeCell ref="B252:B253"/>
    <mergeCell ref="C252:C253"/>
    <mergeCell ref="D252:D253"/>
    <mergeCell ref="E252:E25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222:K222"/>
    <mergeCell ref="E223:F223"/>
    <mergeCell ref="E80:E81"/>
    <mergeCell ref="F80:F81"/>
    <mergeCell ref="G80:G81"/>
    <mergeCell ref="H80:H81"/>
    <mergeCell ref="I80:I81"/>
    <mergeCell ref="K252:K253"/>
    <mergeCell ref="A49:K49"/>
    <mergeCell ref="G89:J89"/>
    <mergeCell ref="G90:J90"/>
    <mergeCell ref="A50:K50"/>
    <mergeCell ref="A87:E87"/>
    <mergeCell ref="A88:C88"/>
    <mergeCell ref="G88:I88"/>
    <mergeCell ref="A89:E89"/>
    <mergeCell ref="A90:E90"/>
    <mergeCell ref="A80:A81"/>
    <mergeCell ref="B80:B81"/>
    <mergeCell ref="C80:C81"/>
    <mergeCell ref="D80:D81"/>
    <mergeCell ref="J80:J81"/>
    <mergeCell ref="K80:K81"/>
    <mergeCell ref="F252:F253"/>
    <mergeCell ref="G252:G253"/>
    <mergeCell ref="H252:H2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53"/>
  <sheetViews>
    <sheetView topLeftCell="A288" workbookViewId="0">
      <selection activeCell="K225" sqref="K225"/>
    </sheetView>
  </sheetViews>
  <sheetFormatPr defaultColWidth="12.6328125" defaultRowHeight="15.75" customHeight="1" x14ac:dyDescent="0.25"/>
  <sheetData>
    <row r="1" spans="1:11" ht="14" x14ac:dyDescent="0.3">
      <c r="A1" s="65" t="s">
        <v>0</v>
      </c>
      <c r="B1" s="66"/>
      <c r="C1" s="66"/>
      <c r="D1" s="66"/>
      <c r="E1" s="66"/>
      <c r="F1" s="2"/>
      <c r="G1" s="2"/>
      <c r="H1" s="2"/>
      <c r="I1" s="2"/>
      <c r="J1" s="2"/>
      <c r="K1" s="2"/>
    </row>
    <row r="2" spans="1:11" ht="14" x14ac:dyDescent="0.3">
      <c r="A2" s="65" t="s">
        <v>1</v>
      </c>
      <c r="B2" s="66"/>
      <c r="C2" s="66"/>
      <c r="D2" s="2"/>
      <c r="E2" s="2"/>
      <c r="F2" s="2"/>
      <c r="G2" s="65" t="s">
        <v>40</v>
      </c>
      <c r="H2" s="66"/>
      <c r="I2" s="66"/>
      <c r="J2" s="1"/>
      <c r="K2" s="2"/>
    </row>
    <row r="3" spans="1:11" ht="14" x14ac:dyDescent="0.3">
      <c r="A3" s="65" t="s">
        <v>3</v>
      </c>
      <c r="B3" s="66"/>
      <c r="C3" s="66"/>
      <c r="D3" s="66"/>
      <c r="E3" s="66"/>
      <c r="F3" s="2"/>
      <c r="G3" s="65" t="s">
        <v>4</v>
      </c>
      <c r="H3" s="66"/>
      <c r="I3" s="66"/>
      <c r="J3" s="66"/>
      <c r="K3" s="2"/>
    </row>
    <row r="4" spans="1:11" ht="14" x14ac:dyDescent="0.3">
      <c r="A4" s="65" t="s">
        <v>5</v>
      </c>
      <c r="B4" s="66"/>
      <c r="C4" s="66"/>
      <c r="D4" s="66"/>
      <c r="E4" s="66"/>
      <c r="F4" s="2"/>
      <c r="G4" s="65" t="s">
        <v>6</v>
      </c>
      <c r="H4" s="66"/>
      <c r="I4" s="66"/>
      <c r="J4" s="6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60" t="s">
        <v>7</v>
      </c>
      <c r="B6" s="61"/>
      <c r="C6" s="61"/>
      <c r="D6" s="61"/>
      <c r="E6" s="61"/>
      <c r="F6" s="61"/>
      <c r="G6" s="61"/>
      <c r="H6" s="61"/>
      <c r="I6" s="61"/>
      <c r="J6" s="61"/>
      <c r="K6" s="62"/>
    </row>
    <row r="7" spans="1:11" ht="14" x14ac:dyDescent="0.3">
      <c r="A7" s="67" t="s">
        <v>8</v>
      </c>
      <c r="B7" s="68"/>
      <c r="C7" s="68"/>
      <c r="D7" s="68"/>
      <c r="E7" s="68"/>
      <c r="F7" s="68"/>
      <c r="G7" s="68"/>
      <c r="H7" s="68"/>
      <c r="I7" s="68"/>
      <c r="J7" s="68"/>
      <c r="K7" s="69"/>
    </row>
    <row r="8" spans="1:11" ht="14" x14ac:dyDescent="0.3">
      <c r="A8" s="4" t="s">
        <v>9</v>
      </c>
      <c r="B8" s="5"/>
      <c r="C8" s="5"/>
      <c r="D8" s="5"/>
      <c r="E8" s="70" t="s">
        <v>10</v>
      </c>
      <c r="F8" s="71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5.75" customHeight="1" x14ac:dyDescent="0.25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11">
        <v>-182</v>
      </c>
    </row>
    <row r="11" spans="1:11" ht="15.75" customHeight="1" x14ac:dyDescent="0.25">
      <c r="A11" s="12" t="s">
        <v>23</v>
      </c>
      <c r="B11" s="13"/>
      <c r="C11" s="13"/>
      <c r="D11" s="13"/>
      <c r="E11" s="13"/>
      <c r="F11" s="13"/>
      <c r="G11" s="13"/>
      <c r="H11" s="13"/>
      <c r="I11" s="13"/>
      <c r="J11" s="13"/>
      <c r="K11" s="14"/>
    </row>
    <row r="12" spans="1:11" ht="15.75" customHeight="1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</row>
    <row r="13" spans="1:11" ht="15.75" customHeight="1" x14ac:dyDescent="0.25">
      <c r="A13" s="12" t="s">
        <v>24</v>
      </c>
      <c r="B13" s="13">
        <v>9</v>
      </c>
      <c r="C13" s="13">
        <v>19</v>
      </c>
      <c r="D13" s="13">
        <v>1</v>
      </c>
      <c r="E13" s="13">
        <v>1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4">
        <v>30</v>
      </c>
    </row>
    <row r="14" spans="1:11" ht="15.75" customHeight="1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</row>
    <row r="15" spans="1:11" ht="15.75" customHeight="1" x14ac:dyDescent="0.25">
      <c r="A15" s="12" t="s">
        <v>25</v>
      </c>
      <c r="B15" s="13">
        <v>31</v>
      </c>
      <c r="C15" s="13">
        <v>34</v>
      </c>
      <c r="D15" s="13">
        <v>7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4">
        <v>72</v>
      </c>
    </row>
    <row r="16" spans="1:11" ht="15.75" customHeight="1" x14ac:dyDescent="0.2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4"/>
    </row>
    <row r="17" spans="1:11" ht="15.75" customHeight="1" x14ac:dyDescent="0.25">
      <c r="A17" s="12" t="s">
        <v>26</v>
      </c>
      <c r="B17" s="13">
        <v>45</v>
      </c>
      <c r="C17" s="13">
        <v>38</v>
      </c>
      <c r="D17" s="13">
        <v>1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4">
        <v>84</v>
      </c>
    </row>
    <row r="18" spans="1:11" ht="15.75" customHeight="1" x14ac:dyDescent="0.25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4"/>
    </row>
    <row r="19" spans="1:11" ht="15.75" customHeight="1" x14ac:dyDescent="0.25">
      <c r="A19" s="12" t="s">
        <v>27</v>
      </c>
      <c r="B19" s="13">
        <v>10</v>
      </c>
      <c r="C19" s="13">
        <v>9</v>
      </c>
      <c r="D19" s="13">
        <v>1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4">
        <v>20</v>
      </c>
    </row>
    <row r="20" spans="1:11" ht="12.5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4"/>
    </row>
    <row r="21" spans="1:11" ht="12.5" x14ac:dyDescent="0.25">
      <c r="A21" s="12" t="s">
        <v>28</v>
      </c>
      <c r="B21" s="13">
        <v>1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4">
        <v>1</v>
      </c>
    </row>
    <row r="22" spans="1:11" ht="12.5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4"/>
    </row>
    <row r="23" spans="1:11" ht="12.5" x14ac:dyDescent="0.25">
      <c r="A23" s="12" t="s">
        <v>29</v>
      </c>
      <c r="B23" s="13">
        <v>2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4">
        <v>2</v>
      </c>
    </row>
    <row r="24" spans="1:11" ht="12.5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4"/>
    </row>
    <row r="25" spans="1:11" ht="12.5" x14ac:dyDescent="0.25">
      <c r="A25" s="12" t="s">
        <v>30</v>
      </c>
      <c r="B25" s="13">
        <v>2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4">
        <v>2</v>
      </c>
    </row>
    <row r="26" spans="1:11" ht="12.5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4"/>
    </row>
    <row r="27" spans="1:11" ht="12.5" x14ac:dyDescent="0.25">
      <c r="A27" s="12" t="s">
        <v>31</v>
      </c>
      <c r="B27" s="13">
        <v>1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4">
        <v>1</v>
      </c>
    </row>
    <row r="28" spans="1:11" ht="12.5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4"/>
    </row>
    <row r="29" spans="1:11" ht="12.5" x14ac:dyDescent="0.25">
      <c r="A29" s="12" t="s">
        <v>32</v>
      </c>
      <c r="B29" s="13">
        <v>1</v>
      </c>
      <c r="C29" s="13">
        <v>2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4">
        <v>3</v>
      </c>
    </row>
    <row r="30" spans="1:11" ht="12.5" x14ac:dyDescent="0.25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4"/>
    </row>
    <row r="31" spans="1:11" ht="12.5" x14ac:dyDescent="0.25">
      <c r="A31" s="12" t="s">
        <v>33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4">
        <v>3</v>
      </c>
    </row>
    <row r="32" spans="1:11" ht="12.5" x14ac:dyDescent="0.2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4"/>
    </row>
    <row r="33" spans="1:11" ht="12.5" x14ac:dyDescent="0.25">
      <c r="A33" s="12" t="s">
        <v>34</v>
      </c>
      <c r="B33" s="13">
        <v>7</v>
      </c>
      <c r="C33" s="13">
        <v>11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4">
        <v>18</v>
      </c>
    </row>
    <row r="34" spans="1:11" ht="12.5" x14ac:dyDescent="0.25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4"/>
    </row>
    <row r="35" spans="1:11" ht="12.5" x14ac:dyDescent="0.25">
      <c r="A35" s="12" t="s">
        <v>35</v>
      </c>
      <c r="B35" s="13">
        <v>18</v>
      </c>
      <c r="C35" s="13">
        <v>26</v>
      </c>
      <c r="D35" s="13">
        <v>1</v>
      </c>
      <c r="E35" s="13">
        <v>0</v>
      </c>
      <c r="F35" s="13">
        <v>1</v>
      </c>
      <c r="G35" s="13">
        <v>0</v>
      </c>
      <c r="H35" s="13">
        <v>0</v>
      </c>
      <c r="I35" s="13">
        <v>0</v>
      </c>
      <c r="J35" s="13">
        <v>0</v>
      </c>
      <c r="K35" s="14">
        <v>46</v>
      </c>
    </row>
    <row r="36" spans="1:11" ht="12.5" x14ac:dyDescent="0.25">
      <c r="A36" s="15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 ht="12.5" x14ac:dyDescent="0.25">
      <c r="A37" s="63" t="s">
        <v>21</v>
      </c>
      <c r="B37" s="63">
        <v>127</v>
      </c>
      <c r="C37" s="63">
        <v>140</v>
      </c>
      <c r="D37" s="63">
        <v>13</v>
      </c>
      <c r="E37" s="63">
        <v>1</v>
      </c>
      <c r="F37" s="63">
        <v>1</v>
      </c>
      <c r="G37" s="63">
        <v>0</v>
      </c>
      <c r="H37" s="63">
        <v>0</v>
      </c>
      <c r="I37" s="63">
        <v>0</v>
      </c>
      <c r="J37" s="63">
        <v>0</v>
      </c>
      <c r="K37" s="63">
        <v>100</v>
      </c>
    </row>
    <row r="38" spans="1:11" ht="12.5" x14ac:dyDescent="0.2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1:11" ht="12.5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1:11" ht="12.5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65" t="s">
        <v>0</v>
      </c>
      <c r="B44" s="66"/>
      <c r="C44" s="66"/>
      <c r="D44" s="66"/>
      <c r="E44" s="66"/>
      <c r="F44" s="2"/>
      <c r="G44" s="2"/>
      <c r="H44" s="2"/>
      <c r="I44" s="2"/>
      <c r="J44" s="2"/>
      <c r="K44" s="2"/>
    </row>
    <row r="45" spans="1:11" ht="14" x14ac:dyDescent="0.3">
      <c r="A45" s="65" t="s">
        <v>1</v>
      </c>
      <c r="B45" s="66"/>
      <c r="C45" s="66"/>
      <c r="D45" s="2"/>
      <c r="E45" s="2"/>
      <c r="F45" s="2"/>
      <c r="G45" s="65" t="s">
        <v>41</v>
      </c>
      <c r="H45" s="66"/>
      <c r="I45" s="66"/>
      <c r="J45" s="1"/>
      <c r="K45" s="2"/>
    </row>
    <row r="46" spans="1:11" ht="14" x14ac:dyDescent="0.3">
      <c r="A46" s="65" t="s">
        <v>3</v>
      </c>
      <c r="B46" s="66"/>
      <c r="C46" s="66"/>
      <c r="D46" s="66"/>
      <c r="E46" s="66"/>
      <c r="F46" s="2"/>
      <c r="G46" s="65" t="s">
        <v>4</v>
      </c>
      <c r="H46" s="66"/>
      <c r="I46" s="66"/>
      <c r="J46" s="66"/>
      <c r="K46" s="2"/>
    </row>
    <row r="47" spans="1:11" ht="14" x14ac:dyDescent="0.3">
      <c r="A47" s="65" t="s">
        <v>5</v>
      </c>
      <c r="B47" s="66"/>
      <c r="C47" s="66"/>
      <c r="D47" s="66"/>
      <c r="E47" s="66"/>
      <c r="F47" s="2"/>
      <c r="G47" s="65" t="s">
        <v>6</v>
      </c>
      <c r="H47" s="66"/>
      <c r="I47" s="66"/>
      <c r="J47" s="6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60" t="s">
        <v>7</v>
      </c>
      <c r="B49" s="61"/>
      <c r="C49" s="61"/>
      <c r="D49" s="61"/>
      <c r="E49" s="61"/>
      <c r="F49" s="61"/>
      <c r="G49" s="61"/>
      <c r="H49" s="61"/>
      <c r="I49" s="61"/>
      <c r="J49" s="61"/>
      <c r="K49" s="62"/>
    </row>
    <row r="50" spans="1:11" ht="14" x14ac:dyDescent="0.3">
      <c r="A50" s="67" t="s">
        <v>8</v>
      </c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" x14ac:dyDescent="0.3">
      <c r="A51" s="4" t="s">
        <v>9</v>
      </c>
      <c r="B51" s="5"/>
      <c r="C51" s="5"/>
      <c r="D51" s="5"/>
      <c r="E51" s="70" t="s">
        <v>10</v>
      </c>
      <c r="F51" s="71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2.5" x14ac:dyDescent="0.25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11">
        <v>-197</v>
      </c>
    </row>
    <row r="54" spans="1:11" ht="12.5" x14ac:dyDescent="0.25">
      <c r="A54" s="12" t="s">
        <v>23</v>
      </c>
      <c r="B54" s="13"/>
      <c r="C54" s="13"/>
      <c r="D54" s="13"/>
      <c r="E54" s="13"/>
      <c r="F54" s="13"/>
      <c r="G54" s="13"/>
      <c r="H54" s="13"/>
      <c r="I54" s="13"/>
      <c r="J54" s="13"/>
      <c r="K54" s="14"/>
    </row>
    <row r="55" spans="1:11" ht="12.5" x14ac:dyDescent="0.25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4"/>
    </row>
    <row r="56" spans="1:11" ht="12.5" x14ac:dyDescent="0.25">
      <c r="A56" s="12" t="s">
        <v>24</v>
      </c>
      <c r="B56" s="13">
        <v>12</v>
      </c>
      <c r="C56" s="13">
        <v>31</v>
      </c>
      <c r="D56" s="13">
        <v>3</v>
      </c>
      <c r="E56" s="13">
        <v>1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4">
        <v>47</v>
      </c>
    </row>
    <row r="57" spans="1:11" ht="12.5" x14ac:dyDescent="0.25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4"/>
    </row>
    <row r="58" spans="1:11" ht="12.5" x14ac:dyDescent="0.25">
      <c r="A58" s="12" t="s">
        <v>25</v>
      </c>
      <c r="B58" s="13">
        <v>30</v>
      </c>
      <c r="C58" s="13">
        <v>20</v>
      </c>
      <c r="D58" s="13">
        <v>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55</v>
      </c>
    </row>
    <row r="59" spans="1:11" ht="12.5" x14ac:dyDescent="0.25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4"/>
    </row>
    <row r="60" spans="1:11" ht="12.5" x14ac:dyDescent="0.25">
      <c r="A60" s="12" t="s">
        <v>26</v>
      </c>
      <c r="B60" s="13">
        <v>21</v>
      </c>
      <c r="C60" s="13">
        <v>9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30</v>
      </c>
    </row>
    <row r="61" spans="1:11" ht="12.5" x14ac:dyDescent="0.25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4"/>
    </row>
    <row r="62" spans="1:11" ht="12.5" x14ac:dyDescent="0.25">
      <c r="A62" s="12" t="s">
        <v>27</v>
      </c>
      <c r="B62" s="13">
        <v>10</v>
      </c>
      <c r="C62" s="13">
        <v>9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19</v>
      </c>
    </row>
    <row r="63" spans="1:11" ht="12.5" x14ac:dyDescent="0.25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4"/>
    </row>
    <row r="64" spans="1:11" ht="12.5" x14ac:dyDescent="0.25">
      <c r="A64" s="12" t="s">
        <v>28</v>
      </c>
      <c r="B64" s="13">
        <v>7</v>
      </c>
      <c r="C64" s="13">
        <v>5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12</v>
      </c>
    </row>
    <row r="65" spans="1:11" ht="12.5" x14ac:dyDescent="0.25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4"/>
    </row>
    <row r="66" spans="1:11" ht="12.5" x14ac:dyDescent="0.25">
      <c r="A66" s="12" t="s">
        <v>29</v>
      </c>
      <c r="B66" s="13">
        <v>7</v>
      </c>
      <c r="C66" s="13">
        <v>7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14</v>
      </c>
    </row>
    <row r="67" spans="1:11" ht="12.5" x14ac:dyDescent="0.25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4"/>
    </row>
    <row r="68" spans="1:11" ht="12.5" x14ac:dyDescent="0.25">
      <c r="A68" s="12" t="s">
        <v>30</v>
      </c>
      <c r="B68" s="13">
        <v>6</v>
      </c>
      <c r="C68" s="13">
        <v>1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7</v>
      </c>
    </row>
    <row r="69" spans="1:11" ht="12.5" x14ac:dyDescent="0.25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4"/>
    </row>
    <row r="70" spans="1:11" ht="12.5" x14ac:dyDescent="0.25">
      <c r="A70" s="12" t="s">
        <v>31</v>
      </c>
      <c r="B70" s="13">
        <v>17</v>
      </c>
      <c r="C70" s="13">
        <v>7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24</v>
      </c>
    </row>
    <row r="71" spans="1:11" ht="12.5" x14ac:dyDescent="0.25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4"/>
    </row>
    <row r="72" spans="1:11" ht="12.5" x14ac:dyDescent="0.25">
      <c r="A72" s="12" t="s">
        <v>32</v>
      </c>
      <c r="B72" s="13">
        <v>6</v>
      </c>
      <c r="C72" s="13">
        <v>6</v>
      </c>
      <c r="D72" s="13">
        <v>1</v>
      </c>
      <c r="E72" s="13">
        <v>1</v>
      </c>
      <c r="F72" s="13">
        <v>0</v>
      </c>
      <c r="G72" s="13">
        <v>1</v>
      </c>
      <c r="H72" s="13">
        <v>0</v>
      </c>
      <c r="I72" s="13">
        <v>0</v>
      </c>
      <c r="J72" s="13">
        <v>0</v>
      </c>
      <c r="K72" s="14">
        <v>15</v>
      </c>
    </row>
    <row r="73" spans="1:11" ht="12.5" x14ac:dyDescent="0.25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4"/>
    </row>
    <row r="74" spans="1:11" ht="12.5" x14ac:dyDescent="0.25">
      <c r="A74" s="12" t="s">
        <v>33</v>
      </c>
      <c r="B74" s="13">
        <v>3</v>
      </c>
      <c r="C74" s="13">
        <v>3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6</v>
      </c>
    </row>
    <row r="75" spans="1:11" ht="12.5" x14ac:dyDescent="0.25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4"/>
    </row>
    <row r="76" spans="1:11" ht="12.5" x14ac:dyDescent="0.25">
      <c r="A76" s="12" t="s">
        <v>34</v>
      </c>
      <c r="B76" s="13">
        <v>10</v>
      </c>
      <c r="C76" s="13">
        <v>15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25</v>
      </c>
    </row>
    <row r="77" spans="1:11" ht="12.5" x14ac:dyDescent="0.25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4"/>
    </row>
    <row r="78" spans="1:11" ht="12.5" x14ac:dyDescent="0.25">
      <c r="A78" s="12" t="s">
        <v>35</v>
      </c>
      <c r="B78" s="13">
        <v>19</v>
      </c>
      <c r="C78" s="13">
        <v>20</v>
      </c>
      <c r="D78" s="13">
        <v>4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43</v>
      </c>
    </row>
    <row r="79" spans="1:11" ht="12.5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</row>
    <row r="80" spans="1:11" ht="12.5" x14ac:dyDescent="0.25">
      <c r="A80" s="63" t="s">
        <v>21</v>
      </c>
      <c r="B80" s="63">
        <v>148</v>
      </c>
      <c r="C80" s="63">
        <v>133</v>
      </c>
      <c r="D80" s="63">
        <v>13</v>
      </c>
      <c r="E80" s="63">
        <v>2</v>
      </c>
      <c r="F80" s="63">
        <v>0</v>
      </c>
      <c r="G80" s="63">
        <v>0</v>
      </c>
      <c r="H80" s="63">
        <v>0</v>
      </c>
      <c r="I80" s="63">
        <v>0</v>
      </c>
      <c r="J80" s="63">
        <v>0</v>
      </c>
      <c r="K80" s="63">
        <v>100</v>
      </c>
    </row>
    <row r="81" spans="1:11" ht="12.5" x14ac:dyDescent="0.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</row>
    <row r="82" spans="1:11" ht="12.5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</row>
    <row r="83" spans="1:11" ht="12.5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65" t="s">
        <v>0</v>
      </c>
      <c r="B87" s="66"/>
      <c r="C87" s="66"/>
      <c r="D87" s="66"/>
      <c r="E87" s="66"/>
      <c r="F87" s="2"/>
      <c r="G87" s="2"/>
      <c r="H87" s="2"/>
      <c r="I87" s="2"/>
      <c r="J87" s="2"/>
      <c r="K87" s="2"/>
    </row>
    <row r="88" spans="1:11" ht="14" x14ac:dyDescent="0.3">
      <c r="A88" s="65" t="s">
        <v>1</v>
      </c>
      <c r="B88" s="66"/>
      <c r="C88" s="66"/>
      <c r="D88" s="2"/>
      <c r="E88" s="2"/>
      <c r="F88" s="2"/>
      <c r="G88" s="65" t="s">
        <v>42</v>
      </c>
      <c r="H88" s="66"/>
      <c r="I88" s="66"/>
      <c r="J88" s="1"/>
      <c r="K88" s="2"/>
    </row>
    <row r="89" spans="1:11" ht="14" x14ac:dyDescent="0.3">
      <c r="A89" s="65" t="s">
        <v>3</v>
      </c>
      <c r="B89" s="66"/>
      <c r="C89" s="66"/>
      <c r="D89" s="66"/>
      <c r="E89" s="66"/>
      <c r="F89" s="2"/>
      <c r="G89" s="65" t="s">
        <v>4</v>
      </c>
      <c r="H89" s="66"/>
      <c r="I89" s="66"/>
      <c r="J89" s="66"/>
      <c r="K89" s="2"/>
    </row>
    <row r="90" spans="1:11" ht="14" x14ac:dyDescent="0.3">
      <c r="A90" s="65" t="s">
        <v>5</v>
      </c>
      <c r="B90" s="66"/>
      <c r="C90" s="66"/>
      <c r="D90" s="66"/>
      <c r="E90" s="66"/>
      <c r="F90" s="2"/>
      <c r="G90" s="65" t="s">
        <v>6</v>
      </c>
      <c r="H90" s="66"/>
      <c r="I90" s="66"/>
      <c r="J90" s="6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60" t="s">
        <v>7</v>
      </c>
      <c r="B92" s="61"/>
      <c r="C92" s="61"/>
      <c r="D92" s="61"/>
      <c r="E92" s="61"/>
      <c r="F92" s="61"/>
      <c r="G92" s="61"/>
      <c r="H92" s="61"/>
      <c r="I92" s="61"/>
      <c r="J92" s="61"/>
      <c r="K92" s="62"/>
    </row>
    <row r="93" spans="1:11" ht="14" x14ac:dyDescent="0.3">
      <c r="A93" s="67" t="s">
        <v>8</v>
      </c>
      <c r="B93" s="68"/>
      <c r="C93" s="68"/>
      <c r="D93" s="68"/>
      <c r="E93" s="68"/>
      <c r="F93" s="68"/>
      <c r="G93" s="68"/>
      <c r="H93" s="68"/>
      <c r="I93" s="68"/>
      <c r="J93" s="68"/>
      <c r="K93" s="69"/>
    </row>
    <row r="94" spans="1:11" ht="14" x14ac:dyDescent="0.3">
      <c r="A94" s="4" t="s">
        <v>9</v>
      </c>
      <c r="B94" s="5"/>
      <c r="C94" s="5"/>
      <c r="D94" s="5"/>
      <c r="E94" s="70" t="s">
        <v>10</v>
      </c>
      <c r="F94" s="71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2.5" x14ac:dyDescent="0.25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11">
        <v>-342</v>
      </c>
    </row>
    <row r="97" spans="1:11" ht="12.5" x14ac:dyDescent="0.25">
      <c r="A97" s="12" t="s">
        <v>23</v>
      </c>
      <c r="B97" s="13"/>
      <c r="C97" s="13"/>
      <c r="D97" s="13"/>
      <c r="E97" s="13"/>
      <c r="F97" s="13"/>
      <c r="G97" s="13"/>
      <c r="H97" s="13"/>
      <c r="I97" s="13"/>
      <c r="J97" s="13"/>
      <c r="K97" s="14"/>
    </row>
    <row r="98" spans="1:11" ht="12.5" x14ac:dyDescent="0.25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4"/>
    </row>
    <row r="99" spans="1:11" ht="12.5" x14ac:dyDescent="0.25">
      <c r="A99" s="12" t="s">
        <v>24</v>
      </c>
      <c r="B99" s="13">
        <v>21</v>
      </c>
      <c r="C99" s="13">
        <v>33</v>
      </c>
      <c r="D99" s="13">
        <v>44</v>
      </c>
      <c r="E99" s="13">
        <v>1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4">
        <v>99</v>
      </c>
    </row>
    <row r="100" spans="1:11" ht="12.5" x14ac:dyDescent="0.25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4"/>
    </row>
    <row r="101" spans="1:11" ht="12.5" x14ac:dyDescent="0.25">
      <c r="A101" s="12" t="s">
        <v>25</v>
      </c>
      <c r="B101" s="13">
        <v>47</v>
      </c>
      <c r="C101" s="13">
        <v>50</v>
      </c>
      <c r="D101" s="13">
        <v>5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4">
        <v>102</v>
      </c>
    </row>
    <row r="102" spans="1:11" ht="12.5" x14ac:dyDescent="0.25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4"/>
    </row>
    <row r="103" spans="1:11" ht="12.5" x14ac:dyDescent="0.25">
      <c r="A103" s="12" t="s">
        <v>26</v>
      </c>
      <c r="B103" s="13">
        <v>32</v>
      </c>
      <c r="C103" s="13">
        <v>36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4">
        <v>68</v>
      </c>
    </row>
    <row r="104" spans="1:11" ht="12.5" x14ac:dyDescent="0.25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4"/>
    </row>
    <row r="105" spans="1:11" ht="12.5" x14ac:dyDescent="0.25">
      <c r="A105" s="12" t="s">
        <v>27</v>
      </c>
      <c r="B105" s="13">
        <v>0</v>
      </c>
      <c r="C105" s="13">
        <v>3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4">
        <v>3</v>
      </c>
    </row>
    <row r="106" spans="1:11" ht="12.5" x14ac:dyDescent="0.25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4"/>
    </row>
    <row r="107" spans="1:11" ht="12.5" x14ac:dyDescent="0.25">
      <c r="A107" s="12" t="s">
        <v>28</v>
      </c>
      <c r="B107" s="13">
        <v>1</v>
      </c>
      <c r="C107" s="13">
        <v>1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4">
        <v>2</v>
      </c>
    </row>
    <row r="108" spans="1:11" ht="12.5" x14ac:dyDescent="0.25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4"/>
    </row>
    <row r="109" spans="1:11" ht="12.5" x14ac:dyDescent="0.25">
      <c r="A109" s="12" t="s">
        <v>29</v>
      </c>
      <c r="B109" s="13">
        <v>9</v>
      </c>
      <c r="C109" s="13">
        <v>1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4">
        <v>10</v>
      </c>
    </row>
    <row r="110" spans="1:11" ht="12.5" x14ac:dyDescent="0.25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4"/>
    </row>
    <row r="111" spans="1:11" ht="12.5" x14ac:dyDescent="0.25">
      <c r="A111" s="12" t="s">
        <v>30</v>
      </c>
      <c r="B111" s="13">
        <v>4</v>
      </c>
      <c r="C111" s="13">
        <v>1</v>
      </c>
      <c r="D111" s="13">
        <v>1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4">
        <v>6</v>
      </c>
    </row>
    <row r="112" spans="1:11" ht="12.5" x14ac:dyDescent="0.25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4"/>
    </row>
    <row r="113" spans="1:11" ht="12.5" x14ac:dyDescent="0.25">
      <c r="A113" s="12" t="s">
        <v>31</v>
      </c>
      <c r="B113" s="13">
        <v>12</v>
      </c>
      <c r="C113" s="13">
        <v>5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4">
        <v>17</v>
      </c>
    </row>
    <row r="114" spans="1:11" ht="12.5" x14ac:dyDescent="0.25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4"/>
    </row>
    <row r="115" spans="1:11" ht="12.5" x14ac:dyDescent="0.25">
      <c r="A115" s="12" t="s">
        <v>32</v>
      </c>
      <c r="B115" s="13">
        <v>4</v>
      </c>
      <c r="C115" s="13">
        <v>1</v>
      </c>
      <c r="D115" s="13">
        <v>1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4">
        <v>6</v>
      </c>
    </row>
    <row r="116" spans="1:11" ht="12.5" x14ac:dyDescent="0.25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4"/>
    </row>
    <row r="117" spans="1:11" ht="12.5" x14ac:dyDescent="0.25">
      <c r="A117" s="12" t="s">
        <v>33</v>
      </c>
      <c r="B117" s="13">
        <v>7</v>
      </c>
      <c r="C117" s="13">
        <v>3</v>
      </c>
      <c r="D117" s="13">
        <v>2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4">
        <v>12</v>
      </c>
    </row>
    <row r="118" spans="1:11" ht="12.5" x14ac:dyDescent="0.25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4"/>
    </row>
    <row r="119" spans="1:11" ht="12.5" x14ac:dyDescent="0.25">
      <c r="A119" s="12" t="s">
        <v>34</v>
      </c>
      <c r="B119" s="13">
        <v>13</v>
      </c>
      <c r="C119" s="13">
        <v>10</v>
      </c>
      <c r="D119" s="13">
        <v>1</v>
      </c>
      <c r="E119" s="13">
        <v>1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4">
        <v>25</v>
      </c>
    </row>
    <row r="120" spans="1:11" ht="12.5" x14ac:dyDescent="0.25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4"/>
    </row>
    <row r="121" spans="1:11" ht="12.5" x14ac:dyDescent="0.25">
      <c r="A121" s="12" t="s">
        <v>35</v>
      </c>
      <c r="B121" s="13">
        <v>32</v>
      </c>
      <c r="C121" s="13">
        <v>56</v>
      </c>
      <c r="D121" s="13">
        <v>3</v>
      </c>
      <c r="E121" s="13">
        <v>1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4">
        <v>92</v>
      </c>
    </row>
    <row r="122" spans="1:11" ht="12.5" x14ac:dyDescent="0.25">
      <c r="A122" s="15"/>
      <c r="B122" s="14"/>
      <c r="C122" s="14"/>
      <c r="D122" s="14"/>
      <c r="E122" s="14"/>
      <c r="F122" s="14"/>
      <c r="G122" s="14"/>
      <c r="H122" s="14"/>
      <c r="I122" s="14"/>
      <c r="J122" s="14"/>
      <c r="K122" s="14"/>
    </row>
    <row r="123" spans="1:11" ht="12.5" x14ac:dyDescent="0.25">
      <c r="A123" s="63" t="s">
        <v>21</v>
      </c>
      <c r="B123" s="63">
        <v>182</v>
      </c>
      <c r="C123" s="63">
        <v>200</v>
      </c>
      <c r="D123" s="63">
        <v>57</v>
      </c>
      <c r="E123" s="63">
        <v>3</v>
      </c>
      <c r="F123" s="63">
        <v>0</v>
      </c>
      <c r="G123" s="63">
        <v>0</v>
      </c>
      <c r="H123" s="63">
        <v>0</v>
      </c>
      <c r="I123" s="63">
        <v>0</v>
      </c>
      <c r="J123" s="63">
        <v>0</v>
      </c>
      <c r="K123" s="63">
        <v>100</v>
      </c>
    </row>
    <row r="124" spans="1:11" ht="12.5" x14ac:dyDescent="0.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2.5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 spans="1:11" ht="12.5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65" t="s">
        <v>0</v>
      </c>
      <c r="B130" s="66"/>
      <c r="C130" s="66"/>
      <c r="D130" s="66"/>
      <c r="E130" s="66"/>
      <c r="F130" s="2"/>
      <c r="G130" s="2"/>
      <c r="H130" s="2"/>
      <c r="I130" s="2"/>
      <c r="J130" s="2"/>
      <c r="K130" s="2"/>
    </row>
    <row r="131" spans="1:11" ht="14" x14ac:dyDescent="0.3">
      <c r="A131" s="65" t="s">
        <v>1</v>
      </c>
      <c r="B131" s="66"/>
      <c r="C131" s="66"/>
      <c r="D131" s="2"/>
      <c r="E131" s="2"/>
      <c r="F131" s="2"/>
      <c r="G131" s="65" t="s">
        <v>43</v>
      </c>
      <c r="H131" s="66"/>
      <c r="I131" s="66"/>
      <c r="J131" s="1"/>
      <c r="K131" s="2"/>
    </row>
    <row r="132" spans="1:11" ht="14" x14ac:dyDescent="0.3">
      <c r="A132" s="65" t="s">
        <v>3</v>
      </c>
      <c r="B132" s="66"/>
      <c r="C132" s="66"/>
      <c r="D132" s="66"/>
      <c r="E132" s="66"/>
      <c r="F132" s="2"/>
      <c r="G132" s="65" t="s">
        <v>4</v>
      </c>
      <c r="H132" s="66"/>
      <c r="I132" s="66"/>
      <c r="J132" s="66"/>
      <c r="K132" s="2"/>
    </row>
    <row r="133" spans="1:11" ht="14" x14ac:dyDescent="0.3">
      <c r="A133" s="65" t="s">
        <v>5</v>
      </c>
      <c r="B133" s="66"/>
      <c r="C133" s="66"/>
      <c r="D133" s="66"/>
      <c r="E133" s="66"/>
      <c r="F133" s="2"/>
      <c r="G133" s="65" t="s">
        <v>6</v>
      </c>
      <c r="H133" s="66"/>
      <c r="I133" s="66"/>
      <c r="J133" s="6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60" t="s">
        <v>7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2"/>
    </row>
    <row r="136" spans="1:11" ht="14" x14ac:dyDescent="0.3">
      <c r="A136" s="67" t="s">
        <v>8</v>
      </c>
      <c r="B136" s="68"/>
      <c r="C136" s="68"/>
      <c r="D136" s="68"/>
      <c r="E136" s="68"/>
      <c r="F136" s="68"/>
      <c r="G136" s="68"/>
      <c r="H136" s="68"/>
      <c r="I136" s="68"/>
      <c r="J136" s="68"/>
      <c r="K136" s="69"/>
    </row>
    <row r="137" spans="1:11" ht="14" x14ac:dyDescent="0.3">
      <c r="A137" s="4" t="s">
        <v>9</v>
      </c>
      <c r="B137" s="5"/>
      <c r="C137" s="5"/>
      <c r="D137" s="5"/>
      <c r="E137" s="70" t="s">
        <v>10</v>
      </c>
      <c r="F137" s="71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2.5" x14ac:dyDescent="0.25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1">
        <v>-314</v>
      </c>
    </row>
    <row r="140" spans="1:11" ht="12.5" x14ac:dyDescent="0.25">
      <c r="A140" s="12" t="s">
        <v>23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4"/>
    </row>
    <row r="141" spans="1:11" ht="12.5" x14ac:dyDescent="0.25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4"/>
    </row>
    <row r="142" spans="1:11" ht="12.5" x14ac:dyDescent="0.25">
      <c r="A142" s="12" t="s">
        <v>24</v>
      </c>
      <c r="B142" s="13">
        <v>18</v>
      </c>
      <c r="C142" s="13">
        <v>19</v>
      </c>
      <c r="D142" s="13">
        <v>1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4">
        <v>38</v>
      </c>
    </row>
    <row r="143" spans="1:11" ht="12.5" x14ac:dyDescent="0.25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4"/>
    </row>
    <row r="144" spans="1:11" ht="12.5" x14ac:dyDescent="0.25">
      <c r="A144" s="12" t="s">
        <v>25</v>
      </c>
      <c r="B144" s="13">
        <v>45</v>
      </c>
      <c r="C144" s="13">
        <v>50</v>
      </c>
      <c r="D144" s="13">
        <v>10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105</v>
      </c>
    </row>
    <row r="145" spans="1:11" ht="12.5" x14ac:dyDescent="0.25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4"/>
    </row>
    <row r="146" spans="1:11" ht="12.5" x14ac:dyDescent="0.25">
      <c r="A146" s="12" t="s">
        <v>26</v>
      </c>
      <c r="B146" s="13">
        <v>36</v>
      </c>
      <c r="C146" s="13">
        <v>30</v>
      </c>
      <c r="D146" s="13">
        <v>2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68</v>
      </c>
    </row>
    <row r="147" spans="1:11" ht="12.5" x14ac:dyDescent="0.25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4"/>
    </row>
    <row r="148" spans="1:11" ht="12.5" x14ac:dyDescent="0.25">
      <c r="A148" s="12" t="s">
        <v>27</v>
      </c>
      <c r="B148" s="13">
        <v>18</v>
      </c>
      <c r="C148" s="13">
        <v>4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22</v>
      </c>
    </row>
    <row r="149" spans="1:11" ht="12.5" x14ac:dyDescent="0.25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4"/>
    </row>
    <row r="150" spans="1:11" ht="12.5" x14ac:dyDescent="0.25">
      <c r="A150" s="12" t="s">
        <v>28</v>
      </c>
      <c r="B150" s="13">
        <v>9</v>
      </c>
      <c r="C150" s="13">
        <v>2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11</v>
      </c>
    </row>
    <row r="151" spans="1:11" ht="12.5" x14ac:dyDescent="0.25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4"/>
    </row>
    <row r="152" spans="1:11" ht="12.5" x14ac:dyDescent="0.25">
      <c r="A152" s="12" t="s">
        <v>29</v>
      </c>
      <c r="B152" s="13">
        <v>12</v>
      </c>
      <c r="C152" s="13">
        <v>1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13</v>
      </c>
    </row>
    <row r="153" spans="1:11" ht="12.5" x14ac:dyDescent="0.25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4"/>
    </row>
    <row r="154" spans="1:11" ht="12.5" x14ac:dyDescent="0.25">
      <c r="A154" s="12" t="s">
        <v>30</v>
      </c>
      <c r="B154" s="13">
        <v>18</v>
      </c>
      <c r="C154" s="13">
        <v>11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29</v>
      </c>
    </row>
    <row r="155" spans="1:11" ht="12.5" x14ac:dyDescent="0.25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4"/>
    </row>
    <row r="156" spans="1:11" ht="12.5" x14ac:dyDescent="0.25">
      <c r="A156" s="12" t="s">
        <v>31</v>
      </c>
      <c r="B156" s="13">
        <v>24</v>
      </c>
      <c r="C156" s="13">
        <v>6</v>
      </c>
      <c r="D156" s="13">
        <v>1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31</v>
      </c>
    </row>
    <row r="157" spans="1:11" ht="12.5" x14ac:dyDescent="0.25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4"/>
    </row>
    <row r="158" spans="1:11" ht="12.5" x14ac:dyDescent="0.25">
      <c r="A158" s="12" t="s">
        <v>32</v>
      </c>
      <c r="B158" s="13">
        <v>16</v>
      </c>
      <c r="C158" s="13">
        <v>5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4">
        <v>21</v>
      </c>
    </row>
    <row r="159" spans="1:11" ht="12.5" x14ac:dyDescent="0.25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4"/>
    </row>
    <row r="160" spans="1:11" ht="12.5" x14ac:dyDescent="0.25">
      <c r="A160" s="12" t="s">
        <v>33</v>
      </c>
      <c r="B160" s="13">
        <v>6</v>
      </c>
      <c r="C160" s="13">
        <v>3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9</v>
      </c>
    </row>
    <row r="161" spans="1:11" ht="12.5" x14ac:dyDescent="0.25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4"/>
    </row>
    <row r="162" spans="1:11" ht="12.5" x14ac:dyDescent="0.25">
      <c r="A162" s="12" t="s">
        <v>34</v>
      </c>
      <c r="B162" s="13">
        <v>11</v>
      </c>
      <c r="C162" s="13">
        <v>8</v>
      </c>
      <c r="D162" s="13">
        <v>2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21</v>
      </c>
    </row>
    <row r="163" spans="1:11" ht="12.5" x14ac:dyDescent="0.25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4"/>
    </row>
    <row r="164" spans="1:11" ht="12.5" x14ac:dyDescent="0.25">
      <c r="A164" s="12" t="s">
        <v>35</v>
      </c>
      <c r="B164" s="13">
        <v>36</v>
      </c>
      <c r="C164" s="13">
        <v>9</v>
      </c>
      <c r="D164" s="13">
        <v>0</v>
      </c>
      <c r="E164" s="13">
        <v>0</v>
      </c>
      <c r="F164" s="13">
        <v>1</v>
      </c>
      <c r="G164" s="13">
        <v>0</v>
      </c>
      <c r="H164" s="13">
        <v>0</v>
      </c>
      <c r="I164" s="13">
        <v>0</v>
      </c>
      <c r="J164" s="13">
        <v>0</v>
      </c>
      <c r="K164" s="14">
        <v>46</v>
      </c>
    </row>
    <row r="165" spans="1:11" ht="12.5" x14ac:dyDescent="0.25">
      <c r="A165" s="15"/>
      <c r="B165" s="14"/>
      <c r="C165" s="14"/>
      <c r="D165" s="14"/>
      <c r="E165" s="14"/>
      <c r="F165" s="14"/>
      <c r="G165" s="14"/>
      <c r="H165" s="14"/>
      <c r="I165" s="14"/>
      <c r="J165" s="14"/>
      <c r="K165" s="14"/>
    </row>
    <row r="166" spans="1:11" ht="12.5" x14ac:dyDescent="0.25">
      <c r="A166" s="63" t="s">
        <v>21</v>
      </c>
      <c r="B166" s="63">
        <v>249</v>
      </c>
      <c r="C166" s="63">
        <v>148</v>
      </c>
      <c r="D166" s="63">
        <v>16</v>
      </c>
      <c r="E166" s="63">
        <v>0</v>
      </c>
      <c r="F166" s="63">
        <v>1</v>
      </c>
      <c r="G166" s="63">
        <v>0</v>
      </c>
      <c r="H166" s="63">
        <v>0</v>
      </c>
      <c r="I166" s="63">
        <v>0</v>
      </c>
      <c r="J166" s="63">
        <v>0</v>
      </c>
      <c r="K166" s="63">
        <v>100</v>
      </c>
    </row>
    <row r="167" spans="1:11" ht="12.5" x14ac:dyDescent="0.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</row>
    <row r="168" spans="1:11" ht="12.5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 spans="1:11" ht="12.5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65" t="s">
        <v>0</v>
      </c>
      <c r="B173" s="66"/>
      <c r="C173" s="66"/>
      <c r="D173" s="66"/>
      <c r="E173" s="66"/>
      <c r="F173" s="2"/>
      <c r="G173" s="2"/>
      <c r="H173" s="2"/>
      <c r="I173" s="2"/>
      <c r="J173" s="2"/>
      <c r="K173" s="2"/>
    </row>
    <row r="174" spans="1:11" ht="14" x14ac:dyDescent="0.3">
      <c r="A174" s="65" t="s">
        <v>1</v>
      </c>
      <c r="B174" s="66"/>
      <c r="C174" s="66"/>
      <c r="D174" s="2"/>
      <c r="E174" s="2"/>
      <c r="F174" s="2"/>
      <c r="G174" s="65" t="s">
        <v>44</v>
      </c>
      <c r="H174" s="66"/>
      <c r="I174" s="66"/>
      <c r="J174" s="1"/>
      <c r="K174" s="2"/>
    </row>
    <row r="175" spans="1:11" ht="14" x14ac:dyDescent="0.3">
      <c r="A175" s="65" t="s">
        <v>45</v>
      </c>
      <c r="B175" s="66"/>
      <c r="C175" s="66"/>
      <c r="D175" s="66"/>
      <c r="E175" s="66"/>
      <c r="F175" s="2"/>
      <c r="G175" s="65" t="s">
        <v>4</v>
      </c>
      <c r="H175" s="66"/>
      <c r="I175" s="66"/>
      <c r="J175" s="66"/>
      <c r="K175" s="2"/>
    </row>
    <row r="176" spans="1:11" ht="14" x14ac:dyDescent="0.3">
      <c r="A176" s="65" t="s">
        <v>5</v>
      </c>
      <c r="B176" s="66"/>
      <c r="C176" s="66"/>
      <c r="D176" s="66"/>
      <c r="E176" s="66"/>
      <c r="F176" s="2"/>
      <c r="G176" s="65" t="s">
        <v>6</v>
      </c>
      <c r="H176" s="66"/>
      <c r="I176" s="66"/>
      <c r="J176" s="6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60" t="s">
        <v>7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2"/>
    </row>
    <row r="179" spans="1:11" ht="14" x14ac:dyDescent="0.3">
      <c r="A179" s="67" t="s">
        <v>8</v>
      </c>
      <c r="B179" s="68"/>
      <c r="C179" s="68"/>
      <c r="D179" s="68"/>
      <c r="E179" s="68"/>
      <c r="F179" s="68"/>
      <c r="G179" s="68"/>
      <c r="H179" s="68"/>
      <c r="I179" s="68"/>
      <c r="J179" s="68"/>
      <c r="K179" s="69"/>
    </row>
    <row r="180" spans="1:11" ht="14" x14ac:dyDescent="0.3">
      <c r="A180" s="4" t="s">
        <v>9</v>
      </c>
      <c r="B180" s="5"/>
      <c r="C180" s="5"/>
      <c r="D180" s="5"/>
      <c r="E180" s="70" t="s">
        <v>10</v>
      </c>
      <c r="F180" s="71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2.5" x14ac:dyDescent="0.25">
      <c r="A182" s="9" t="s">
        <v>22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1">
        <v>267</v>
      </c>
    </row>
    <row r="183" spans="1:11" ht="12.5" x14ac:dyDescent="0.25">
      <c r="A183" s="12" t="s">
        <v>23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4"/>
    </row>
    <row r="184" spans="1:11" ht="12.5" x14ac:dyDescent="0.25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4"/>
    </row>
    <row r="185" spans="1:11" ht="12.5" x14ac:dyDescent="0.25">
      <c r="A185" s="12" t="s">
        <v>24</v>
      </c>
      <c r="B185" s="13">
        <v>12</v>
      </c>
      <c r="C185" s="13">
        <v>19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4">
        <v>31</v>
      </c>
    </row>
    <row r="186" spans="1:11" ht="12.5" x14ac:dyDescent="0.25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4"/>
    </row>
    <row r="187" spans="1:11" ht="12.5" x14ac:dyDescent="0.25">
      <c r="A187" s="12" t="s">
        <v>25</v>
      </c>
      <c r="B187" s="13">
        <v>38</v>
      </c>
      <c r="C187" s="13">
        <v>35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4">
        <v>73</v>
      </c>
    </row>
    <row r="188" spans="1:11" ht="12.5" x14ac:dyDescent="0.25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4"/>
    </row>
    <row r="189" spans="1:11" ht="12.5" x14ac:dyDescent="0.25">
      <c r="A189" s="12" t="s">
        <v>26</v>
      </c>
      <c r="B189" s="13">
        <v>69</v>
      </c>
      <c r="C189" s="13">
        <v>25</v>
      </c>
      <c r="D189" s="13">
        <v>1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4">
        <v>95</v>
      </c>
    </row>
    <row r="190" spans="1:11" ht="12.5" x14ac:dyDescent="0.25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4"/>
    </row>
    <row r="191" spans="1:11" ht="12.5" x14ac:dyDescent="0.25">
      <c r="A191" s="12" t="s">
        <v>27</v>
      </c>
      <c r="B191" s="13">
        <v>27</v>
      </c>
      <c r="C191" s="13">
        <v>7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4">
        <v>34</v>
      </c>
    </row>
    <row r="192" spans="1:11" ht="12.5" x14ac:dyDescent="0.25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4"/>
    </row>
    <row r="193" spans="1:11" ht="12.5" x14ac:dyDescent="0.25">
      <c r="A193" s="12" t="s">
        <v>28</v>
      </c>
      <c r="B193" s="13">
        <v>19</v>
      </c>
      <c r="C193" s="13">
        <v>2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 s="14">
        <v>21</v>
      </c>
    </row>
    <row r="194" spans="1:11" ht="12.5" x14ac:dyDescent="0.25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4"/>
    </row>
    <row r="195" spans="1:11" ht="12.5" x14ac:dyDescent="0.25">
      <c r="A195" s="12" t="s">
        <v>29</v>
      </c>
      <c r="B195" s="13">
        <v>11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4">
        <v>11</v>
      </c>
    </row>
    <row r="196" spans="1:11" ht="12.5" x14ac:dyDescent="0.25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4"/>
    </row>
    <row r="197" spans="1:11" ht="12.5" x14ac:dyDescent="0.25">
      <c r="A197" s="12" t="s">
        <v>30</v>
      </c>
      <c r="B197" s="13">
        <v>14</v>
      </c>
      <c r="C197" s="13">
        <v>2</v>
      </c>
      <c r="D197" s="13">
        <v>0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4">
        <v>16</v>
      </c>
    </row>
    <row r="198" spans="1:11" ht="12.5" x14ac:dyDescent="0.25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4"/>
    </row>
    <row r="199" spans="1:11" ht="12.5" x14ac:dyDescent="0.25">
      <c r="A199" s="12" t="s">
        <v>31</v>
      </c>
      <c r="B199" s="13">
        <v>20</v>
      </c>
      <c r="C199" s="13">
        <v>7</v>
      </c>
      <c r="D199" s="13">
        <v>0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4">
        <v>27</v>
      </c>
    </row>
    <row r="200" spans="1:11" ht="12.5" x14ac:dyDescent="0.25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4"/>
    </row>
    <row r="201" spans="1:11" ht="12.5" x14ac:dyDescent="0.25">
      <c r="A201" s="12" t="s">
        <v>32</v>
      </c>
      <c r="B201" s="13">
        <v>9</v>
      </c>
      <c r="C201" s="13">
        <v>2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4">
        <v>11</v>
      </c>
    </row>
    <row r="202" spans="1:11" ht="12.5" x14ac:dyDescent="0.25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4"/>
    </row>
    <row r="203" spans="1:11" ht="15.75" customHeight="1" x14ac:dyDescent="0.25">
      <c r="A203" s="12" t="s">
        <v>33</v>
      </c>
      <c r="B203" s="13">
        <v>14</v>
      </c>
      <c r="C203" s="13">
        <v>1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4">
        <v>15</v>
      </c>
    </row>
    <row r="204" spans="1:11" ht="15.75" customHeight="1" x14ac:dyDescent="0.25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4"/>
    </row>
    <row r="205" spans="1:11" ht="15.75" customHeight="1" x14ac:dyDescent="0.25">
      <c r="A205" s="12" t="s">
        <v>34</v>
      </c>
      <c r="B205" s="13">
        <v>15</v>
      </c>
      <c r="C205" s="13">
        <v>8</v>
      </c>
      <c r="D205" s="13">
        <v>0</v>
      </c>
      <c r="E205" s="13">
        <v>0</v>
      </c>
      <c r="F205" s="13">
        <v>0</v>
      </c>
      <c r="G205" s="13">
        <v>0</v>
      </c>
      <c r="H205" s="13">
        <v>0</v>
      </c>
      <c r="I205" s="13">
        <v>0</v>
      </c>
      <c r="J205" s="13">
        <v>0</v>
      </c>
      <c r="K205" s="14">
        <v>23</v>
      </c>
    </row>
    <row r="206" spans="1:11" ht="15.75" customHeight="1" x14ac:dyDescent="0.25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4"/>
    </row>
    <row r="207" spans="1:11" ht="15.75" customHeight="1" x14ac:dyDescent="0.25">
      <c r="A207" s="12" t="s">
        <v>35</v>
      </c>
      <c r="B207" s="13">
        <v>21</v>
      </c>
      <c r="C207" s="13">
        <v>27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4">
        <v>48</v>
      </c>
    </row>
    <row r="208" spans="1:11" ht="15.75" customHeight="1" x14ac:dyDescent="0.25">
      <c r="A208" s="15"/>
      <c r="B208" s="14"/>
      <c r="C208" s="14"/>
      <c r="D208" s="14"/>
      <c r="E208" s="14"/>
      <c r="F208" s="14"/>
      <c r="G208" s="14"/>
      <c r="H208" s="14"/>
      <c r="I208" s="14"/>
      <c r="J208" s="14"/>
      <c r="K208" s="14"/>
    </row>
    <row r="209" spans="1:11" ht="15.75" customHeight="1" x14ac:dyDescent="0.25">
      <c r="A209" s="63" t="s">
        <v>21</v>
      </c>
      <c r="B209" s="63">
        <v>269</v>
      </c>
      <c r="C209" s="63">
        <v>135</v>
      </c>
      <c r="D209" s="63">
        <v>1</v>
      </c>
      <c r="E209" s="63">
        <v>0</v>
      </c>
      <c r="F209" s="63">
        <v>0</v>
      </c>
      <c r="G209" s="63">
        <v>0</v>
      </c>
      <c r="H209" s="63">
        <v>0</v>
      </c>
      <c r="I209" s="63">
        <v>0</v>
      </c>
      <c r="J209" s="63">
        <v>0</v>
      </c>
      <c r="K209" s="63">
        <v>672</v>
      </c>
    </row>
    <row r="210" spans="1:11" ht="15.75" customHeight="1" x14ac:dyDescent="0.2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</row>
    <row r="211" spans="1:11" ht="15.75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</row>
    <row r="212" spans="1:11" ht="15.75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65" t="s">
        <v>0</v>
      </c>
      <c r="B216" s="66"/>
      <c r="C216" s="66"/>
      <c r="D216" s="66"/>
      <c r="E216" s="66"/>
      <c r="F216" s="2"/>
      <c r="G216" s="2"/>
      <c r="H216" s="2"/>
      <c r="I216" s="2"/>
      <c r="J216" s="2"/>
      <c r="K216" s="2"/>
    </row>
    <row r="217" spans="1:11" ht="15.75" customHeight="1" x14ac:dyDescent="0.3">
      <c r="A217" s="65" t="s">
        <v>1</v>
      </c>
      <c r="B217" s="66"/>
      <c r="C217" s="66"/>
      <c r="D217" s="2"/>
      <c r="E217" s="2"/>
      <c r="F217" s="2"/>
      <c r="G217" s="65" t="s">
        <v>111</v>
      </c>
      <c r="H217" s="66"/>
      <c r="I217" s="66"/>
      <c r="J217" s="1"/>
      <c r="K217" s="2"/>
    </row>
    <row r="218" spans="1:11" ht="15.75" customHeight="1" x14ac:dyDescent="0.3">
      <c r="A218" s="65" t="s">
        <v>45</v>
      </c>
      <c r="B218" s="66"/>
      <c r="C218" s="66"/>
      <c r="D218" s="66"/>
      <c r="E218" s="66"/>
      <c r="F218" s="2"/>
      <c r="G218" s="65" t="s">
        <v>4</v>
      </c>
      <c r="H218" s="66"/>
      <c r="I218" s="66"/>
      <c r="J218" s="66"/>
      <c r="K218" s="2"/>
    </row>
    <row r="219" spans="1:11" ht="15.75" customHeight="1" x14ac:dyDescent="0.3">
      <c r="A219" s="65" t="s">
        <v>5</v>
      </c>
      <c r="B219" s="66"/>
      <c r="C219" s="66"/>
      <c r="D219" s="66"/>
      <c r="E219" s="66"/>
      <c r="F219" s="2"/>
      <c r="G219" s="65" t="s">
        <v>6</v>
      </c>
      <c r="H219" s="66"/>
      <c r="I219" s="66"/>
      <c r="J219" s="6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60" t="s">
        <v>7</v>
      </c>
      <c r="B221" s="61"/>
      <c r="C221" s="61"/>
      <c r="D221" s="61"/>
      <c r="E221" s="61"/>
      <c r="F221" s="61"/>
      <c r="G221" s="61"/>
      <c r="H221" s="61"/>
      <c r="I221" s="61"/>
      <c r="J221" s="61"/>
      <c r="K221" s="62"/>
    </row>
    <row r="222" spans="1:11" ht="15.75" customHeight="1" x14ac:dyDescent="0.3">
      <c r="A222" s="67" t="s">
        <v>8</v>
      </c>
      <c r="B222" s="68"/>
      <c r="C222" s="68"/>
      <c r="D222" s="68"/>
      <c r="E222" s="68"/>
      <c r="F222" s="68"/>
      <c r="G222" s="68"/>
      <c r="H222" s="68"/>
      <c r="I222" s="68"/>
      <c r="J222" s="68"/>
      <c r="K222" s="69"/>
    </row>
    <row r="223" spans="1:11" ht="15.75" customHeight="1" x14ac:dyDescent="0.3">
      <c r="A223" s="4" t="s">
        <v>9</v>
      </c>
      <c r="B223" s="5"/>
      <c r="C223" s="5"/>
      <c r="D223" s="5"/>
      <c r="E223" s="70" t="s">
        <v>10</v>
      </c>
      <c r="F223" s="71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25">
      <c r="A225" s="9" t="s">
        <v>22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1">
        <f>(K10+K53+K96+K139+K182)/5</f>
        <v>-153.6</v>
      </c>
    </row>
    <row r="226" spans="1:11" ht="15.75" customHeight="1" x14ac:dyDescent="0.25">
      <c r="A226" s="12" t="s">
        <v>23</v>
      </c>
      <c r="B226" s="13"/>
      <c r="C226" s="13"/>
      <c r="D226" s="13"/>
      <c r="E226" s="13"/>
      <c r="F226" s="13"/>
      <c r="G226" s="13"/>
      <c r="H226" s="13"/>
      <c r="I226" s="13"/>
      <c r="J226" s="13"/>
      <c r="K226" s="11"/>
    </row>
    <row r="227" spans="1:11" ht="15.75" customHeight="1" x14ac:dyDescent="0.25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1"/>
    </row>
    <row r="228" spans="1:11" ht="15.75" customHeight="1" x14ac:dyDescent="0.25">
      <c r="A228" s="12" t="s">
        <v>24</v>
      </c>
      <c r="B228" s="13">
        <f>(B13+B56+B99+B142+B185)/5</f>
        <v>14.4</v>
      </c>
      <c r="C228" s="13">
        <f t="shared" ref="C228:J228" si="0">(C13+C56+C99+C142+C185)/5</f>
        <v>24.2</v>
      </c>
      <c r="D228" s="13">
        <f t="shared" si="0"/>
        <v>9.8000000000000007</v>
      </c>
      <c r="E228" s="13">
        <f t="shared" si="0"/>
        <v>0.6</v>
      </c>
      <c r="F228" s="13">
        <f t="shared" si="0"/>
        <v>0</v>
      </c>
      <c r="G228" s="13">
        <f t="shared" si="0"/>
        <v>0</v>
      </c>
      <c r="H228" s="13">
        <f>(H13+H56+H99+H142+H185)/5</f>
        <v>0</v>
      </c>
      <c r="I228" s="13">
        <f t="shared" si="0"/>
        <v>0</v>
      </c>
      <c r="J228" s="13">
        <f t="shared" si="0"/>
        <v>0</v>
      </c>
      <c r="K228" s="11">
        <f t="shared" ref="K228:K250" si="1">(K13+K56+K99+K142+K185)/5</f>
        <v>49</v>
      </c>
    </row>
    <row r="229" spans="1:11" ht="15.75" customHeight="1" x14ac:dyDescent="0.25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1"/>
    </row>
    <row r="230" spans="1:11" ht="15.75" customHeight="1" x14ac:dyDescent="0.25">
      <c r="A230" s="12" t="s">
        <v>25</v>
      </c>
      <c r="B230" s="13">
        <f t="shared" ref="B230" si="2">(B15+B58+B101+B144+B187)/5</f>
        <v>38.200000000000003</v>
      </c>
      <c r="C230" s="13">
        <f t="shared" ref="B230:J250" si="3">(C15+C58+C101+C144+C187)/5</f>
        <v>37.799999999999997</v>
      </c>
      <c r="D230" s="13">
        <f t="shared" si="3"/>
        <v>5.4</v>
      </c>
      <c r="E230" s="13">
        <f t="shared" si="3"/>
        <v>0</v>
      </c>
      <c r="F230" s="13">
        <f t="shared" si="3"/>
        <v>0</v>
      </c>
      <c r="G230" s="13">
        <f t="shared" si="3"/>
        <v>0</v>
      </c>
      <c r="H230" s="13">
        <f t="shared" si="3"/>
        <v>0</v>
      </c>
      <c r="I230" s="13">
        <f t="shared" si="3"/>
        <v>0</v>
      </c>
      <c r="J230" s="13">
        <f t="shared" si="3"/>
        <v>0</v>
      </c>
      <c r="K230" s="11">
        <f t="shared" si="1"/>
        <v>81.400000000000006</v>
      </c>
    </row>
    <row r="231" spans="1:11" ht="15.75" customHeight="1" x14ac:dyDescent="0.25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1"/>
    </row>
    <row r="232" spans="1:11" ht="15.75" customHeight="1" x14ac:dyDescent="0.25">
      <c r="A232" s="12" t="s">
        <v>26</v>
      </c>
      <c r="B232" s="13">
        <f t="shared" si="3"/>
        <v>40.6</v>
      </c>
      <c r="C232" s="13">
        <f t="shared" si="3"/>
        <v>27.6</v>
      </c>
      <c r="D232" s="13">
        <f t="shared" si="3"/>
        <v>0.8</v>
      </c>
      <c r="E232" s="13">
        <f t="shared" si="3"/>
        <v>0</v>
      </c>
      <c r="F232" s="13">
        <f t="shared" si="3"/>
        <v>0</v>
      </c>
      <c r="G232" s="13">
        <f t="shared" si="3"/>
        <v>0</v>
      </c>
      <c r="H232" s="13">
        <f t="shared" si="3"/>
        <v>0</v>
      </c>
      <c r="I232" s="13">
        <f t="shared" si="3"/>
        <v>0</v>
      </c>
      <c r="J232" s="13">
        <f t="shared" si="3"/>
        <v>0</v>
      </c>
      <c r="K232" s="11">
        <f t="shared" si="1"/>
        <v>69</v>
      </c>
    </row>
    <row r="233" spans="1:11" ht="15.75" customHeight="1" x14ac:dyDescent="0.25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1"/>
    </row>
    <row r="234" spans="1:11" ht="15.75" customHeight="1" x14ac:dyDescent="0.25">
      <c r="A234" s="12" t="s">
        <v>27</v>
      </c>
      <c r="B234" s="13">
        <f t="shared" si="3"/>
        <v>13</v>
      </c>
      <c r="C234" s="13">
        <f t="shared" si="3"/>
        <v>6.4</v>
      </c>
      <c r="D234" s="13">
        <f t="shared" si="3"/>
        <v>0.2</v>
      </c>
      <c r="E234" s="13">
        <f t="shared" si="3"/>
        <v>0</v>
      </c>
      <c r="F234" s="13">
        <f t="shared" si="3"/>
        <v>0</v>
      </c>
      <c r="G234" s="13">
        <f t="shared" si="3"/>
        <v>0</v>
      </c>
      <c r="H234" s="13">
        <f t="shared" si="3"/>
        <v>0</v>
      </c>
      <c r="I234" s="13">
        <f t="shared" si="3"/>
        <v>0</v>
      </c>
      <c r="J234" s="13">
        <f t="shared" si="3"/>
        <v>0</v>
      </c>
      <c r="K234" s="11">
        <f t="shared" si="1"/>
        <v>19.600000000000001</v>
      </c>
    </row>
    <row r="235" spans="1:11" ht="15.75" customHeight="1" x14ac:dyDescent="0.25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1"/>
    </row>
    <row r="236" spans="1:11" ht="15.75" customHeight="1" x14ac:dyDescent="0.25">
      <c r="A236" s="12" t="s">
        <v>28</v>
      </c>
      <c r="B236" s="13">
        <f t="shared" si="3"/>
        <v>7.4</v>
      </c>
      <c r="C236" s="13">
        <f t="shared" si="3"/>
        <v>2</v>
      </c>
      <c r="D236" s="13">
        <f t="shared" si="3"/>
        <v>0</v>
      </c>
      <c r="E236" s="13">
        <f t="shared" si="3"/>
        <v>0</v>
      </c>
      <c r="F236" s="13">
        <f t="shared" si="3"/>
        <v>0</v>
      </c>
      <c r="G236" s="13">
        <f t="shared" si="3"/>
        <v>0</v>
      </c>
      <c r="H236" s="13">
        <f t="shared" si="3"/>
        <v>0</v>
      </c>
      <c r="I236" s="13">
        <f t="shared" si="3"/>
        <v>0</v>
      </c>
      <c r="J236" s="13">
        <f t="shared" si="3"/>
        <v>0</v>
      </c>
      <c r="K236" s="11">
        <f t="shared" si="1"/>
        <v>9.4</v>
      </c>
    </row>
    <row r="237" spans="1:11" ht="15.75" customHeight="1" x14ac:dyDescent="0.25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1"/>
    </row>
    <row r="238" spans="1:11" ht="15.75" customHeight="1" x14ac:dyDescent="0.25">
      <c r="A238" s="12" t="s">
        <v>29</v>
      </c>
      <c r="B238" s="13">
        <f t="shared" si="3"/>
        <v>8.1999999999999993</v>
      </c>
      <c r="C238" s="13">
        <f t="shared" si="3"/>
        <v>1.8</v>
      </c>
      <c r="D238" s="13">
        <f t="shared" si="3"/>
        <v>0</v>
      </c>
      <c r="E238" s="13">
        <f t="shared" si="3"/>
        <v>0</v>
      </c>
      <c r="F238" s="13">
        <f t="shared" si="3"/>
        <v>0</v>
      </c>
      <c r="G238" s="13">
        <f t="shared" si="3"/>
        <v>0</v>
      </c>
      <c r="H238" s="13">
        <f t="shared" si="3"/>
        <v>0</v>
      </c>
      <c r="I238" s="13">
        <f t="shared" si="3"/>
        <v>0</v>
      </c>
      <c r="J238" s="13">
        <f t="shared" si="3"/>
        <v>0</v>
      </c>
      <c r="K238" s="11">
        <f t="shared" si="1"/>
        <v>10</v>
      </c>
    </row>
    <row r="239" spans="1:11" ht="15.75" customHeight="1" x14ac:dyDescent="0.25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1"/>
    </row>
    <row r="240" spans="1:11" ht="15.75" customHeight="1" x14ac:dyDescent="0.25">
      <c r="A240" s="12" t="s">
        <v>30</v>
      </c>
      <c r="B240" s="13">
        <f t="shared" si="3"/>
        <v>8.8000000000000007</v>
      </c>
      <c r="C240" s="13">
        <f t="shared" si="3"/>
        <v>3</v>
      </c>
      <c r="D240" s="13">
        <f t="shared" si="3"/>
        <v>0.2</v>
      </c>
      <c r="E240" s="13">
        <f t="shared" si="3"/>
        <v>0</v>
      </c>
      <c r="F240" s="13">
        <f t="shared" si="3"/>
        <v>0</v>
      </c>
      <c r="G240" s="13">
        <f t="shared" si="3"/>
        <v>0</v>
      </c>
      <c r="H240" s="13">
        <f t="shared" si="3"/>
        <v>0</v>
      </c>
      <c r="I240" s="13">
        <f t="shared" si="3"/>
        <v>0</v>
      </c>
      <c r="J240" s="13">
        <f t="shared" si="3"/>
        <v>0</v>
      </c>
      <c r="K240" s="11">
        <f t="shared" si="1"/>
        <v>12</v>
      </c>
    </row>
    <row r="241" spans="1:11" ht="15.75" customHeight="1" x14ac:dyDescent="0.25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1"/>
    </row>
    <row r="242" spans="1:11" ht="15.75" customHeight="1" x14ac:dyDescent="0.25">
      <c r="A242" s="12" t="s">
        <v>31</v>
      </c>
      <c r="B242" s="13">
        <f t="shared" si="3"/>
        <v>14.8</v>
      </c>
      <c r="C242" s="13">
        <f t="shared" si="3"/>
        <v>5</v>
      </c>
      <c r="D242" s="13">
        <f t="shared" si="3"/>
        <v>0.2</v>
      </c>
      <c r="E242" s="13">
        <f t="shared" si="3"/>
        <v>0</v>
      </c>
      <c r="F242" s="13">
        <f t="shared" si="3"/>
        <v>0</v>
      </c>
      <c r="G242" s="13">
        <f t="shared" si="3"/>
        <v>0</v>
      </c>
      <c r="H242" s="13">
        <f t="shared" si="3"/>
        <v>0</v>
      </c>
      <c r="I242" s="13">
        <f t="shared" si="3"/>
        <v>0</v>
      </c>
      <c r="J242" s="13">
        <f t="shared" si="3"/>
        <v>0</v>
      </c>
      <c r="K242" s="11">
        <f t="shared" si="1"/>
        <v>20</v>
      </c>
    </row>
    <row r="243" spans="1:11" ht="15.75" customHeight="1" x14ac:dyDescent="0.25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1"/>
    </row>
    <row r="244" spans="1:11" ht="15.75" customHeight="1" x14ac:dyDescent="0.25">
      <c r="A244" s="12" t="s">
        <v>32</v>
      </c>
      <c r="B244" s="13">
        <f t="shared" si="3"/>
        <v>7.2</v>
      </c>
      <c r="C244" s="13">
        <f t="shared" si="3"/>
        <v>3.2</v>
      </c>
      <c r="D244" s="13">
        <f t="shared" si="3"/>
        <v>0.4</v>
      </c>
      <c r="E244" s="13">
        <f t="shared" si="3"/>
        <v>0.2</v>
      </c>
      <c r="F244" s="13">
        <f t="shared" si="3"/>
        <v>0</v>
      </c>
      <c r="G244" s="13">
        <f t="shared" si="3"/>
        <v>0.2</v>
      </c>
      <c r="H244" s="13">
        <f t="shared" si="3"/>
        <v>0</v>
      </c>
      <c r="I244" s="13">
        <f t="shared" si="3"/>
        <v>0</v>
      </c>
      <c r="J244" s="13">
        <f t="shared" si="3"/>
        <v>0</v>
      </c>
      <c r="K244" s="11">
        <f t="shared" si="1"/>
        <v>11.2</v>
      </c>
    </row>
    <row r="245" spans="1:11" ht="15.75" customHeight="1" x14ac:dyDescent="0.25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1"/>
    </row>
    <row r="246" spans="1:11" ht="15.75" customHeight="1" x14ac:dyDescent="0.25">
      <c r="A246" s="12" t="s">
        <v>33</v>
      </c>
      <c r="B246" s="13">
        <f t="shared" si="3"/>
        <v>6</v>
      </c>
      <c r="C246" s="13">
        <f t="shared" si="3"/>
        <v>2.2000000000000002</v>
      </c>
      <c r="D246" s="13">
        <f t="shared" si="3"/>
        <v>0.8</v>
      </c>
      <c r="E246" s="13">
        <f t="shared" si="3"/>
        <v>0</v>
      </c>
      <c r="F246" s="13">
        <f t="shared" si="3"/>
        <v>0</v>
      </c>
      <c r="G246" s="13">
        <f t="shared" si="3"/>
        <v>0</v>
      </c>
      <c r="H246" s="13">
        <f t="shared" si="3"/>
        <v>0</v>
      </c>
      <c r="I246" s="13">
        <f t="shared" si="3"/>
        <v>0</v>
      </c>
      <c r="J246" s="13">
        <f t="shared" si="3"/>
        <v>0</v>
      </c>
      <c r="K246" s="11">
        <f t="shared" si="1"/>
        <v>9</v>
      </c>
    </row>
    <row r="247" spans="1:11" ht="15.75" customHeight="1" x14ac:dyDescent="0.25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1"/>
    </row>
    <row r="248" spans="1:11" ht="15.75" customHeight="1" x14ac:dyDescent="0.25">
      <c r="A248" s="12" t="s">
        <v>34</v>
      </c>
      <c r="B248" s="13">
        <f t="shared" si="3"/>
        <v>11.2</v>
      </c>
      <c r="C248" s="13">
        <f t="shared" si="3"/>
        <v>10.4</v>
      </c>
      <c r="D248" s="13">
        <f t="shared" si="3"/>
        <v>0.6</v>
      </c>
      <c r="E248" s="13">
        <f t="shared" si="3"/>
        <v>0.2</v>
      </c>
      <c r="F248" s="13">
        <f t="shared" si="3"/>
        <v>0</v>
      </c>
      <c r="G248" s="13">
        <f t="shared" si="3"/>
        <v>0</v>
      </c>
      <c r="H248" s="13">
        <f t="shared" si="3"/>
        <v>0</v>
      </c>
      <c r="I248" s="13">
        <f t="shared" si="3"/>
        <v>0</v>
      </c>
      <c r="J248" s="13">
        <f t="shared" si="3"/>
        <v>0</v>
      </c>
      <c r="K248" s="11">
        <f t="shared" si="1"/>
        <v>22.4</v>
      </c>
    </row>
    <row r="249" spans="1:11" ht="15.75" customHeight="1" x14ac:dyDescent="0.25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1"/>
    </row>
    <row r="250" spans="1:11" ht="15.75" customHeight="1" x14ac:dyDescent="0.25">
      <c r="A250" s="12" t="s">
        <v>35</v>
      </c>
      <c r="B250" s="13">
        <f t="shared" si="3"/>
        <v>25.2</v>
      </c>
      <c r="C250" s="13">
        <f t="shared" si="3"/>
        <v>27.6</v>
      </c>
      <c r="D250" s="13">
        <f t="shared" si="3"/>
        <v>1.6</v>
      </c>
      <c r="E250" s="13">
        <f t="shared" si="3"/>
        <v>0.2</v>
      </c>
      <c r="F250" s="13">
        <f t="shared" si="3"/>
        <v>0.4</v>
      </c>
      <c r="G250" s="13">
        <f t="shared" si="3"/>
        <v>0</v>
      </c>
      <c r="H250" s="13">
        <f t="shared" si="3"/>
        <v>0</v>
      </c>
      <c r="I250" s="13">
        <f t="shared" si="3"/>
        <v>0</v>
      </c>
      <c r="J250" s="13">
        <f t="shared" si="3"/>
        <v>0</v>
      </c>
      <c r="K250" s="11">
        <f t="shared" si="1"/>
        <v>55</v>
      </c>
    </row>
    <row r="251" spans="1:11" ht="15.75" customHeight="1" x14ac:dyDescent="0.25">
      <c r="A251" s="15"/>
      <c r="B251" s="14"/>
      <c r="C251" s="14"/>
      <c r="D251" s="14"/>
      <c r="E251" s="14"/>
      <c r="F251" s="14"/>
      <c r="G251" s="14"/>
      <c r="H251" s="14"/>
      <c r="I251" s="14"/>
      <c r="J251" s="14"/>
      <c r="K251" s="14"/>
    </row>
    <row r="252" spans="1:11" ht="15.75" customHeight="1" x14ac:dyDescent="0.25">
      <c r="A252" s="63" t="s">
        <v>21</v>
      </c>
      <c r="B252" s="63">
        <f>SUM(B228:B250)</f>
        <v>195</v>
      </c>
      <c r="C252" s="63">
        <f t="shared" ref="C252:J252" si="4">SUM(C228:C250)</f>
        <v>151.20000000000002</v>
      </c>
      <c r="D252" s="63">
        <f t="shared" si="4"/>
        <v>20</v>
      </c>
      <c r="E252" s="63">
        <f t="shared" si="4"/>
        <v>1.2</v>
      </c>
      <c r="F252" s="63">
        <f t="shared" si="4"/>
        <v>0.4</v>
      </c>
      <c r="G252" s="63">
        <f t="shared" si="4"/>
        <v>0.2</v>
      </c>
      <c r="H252" s="63">
        <f t="shared" si="4"/>
        <v>0</v>
      </c>
      <c r="I252" s="63">
        <f t="shared" si="4"/>
        <v>0</v>
      </c>
      <c r="J252" s="63">
        <f t="shared" si="4"/>
        <v>0</v>
      </c>
      <c r="K252" s="63">
        <f>SUM(K225:K251)</f>
        <v>214.4</v>
      </c>
    </row>
    <row r="253" spans="1:11" ht="15.75" customHeight="1" x14ac:dyDescent="0.2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</row>
  </sheetData>
  <mergeCells count="126">
    <mergeCell ref="A218:E218"/>
    <mergeCell ref="G218:J218"/>
    <mergeCell ref="A219:E219"/>
    <mergeCell ref="G219:J219"/>
    <mergeCell ref="A221:K221"/>
    <mergeCell ref="A222:K222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A50:K50"/>
    <mergeCell ref="E51:F51"/>
    <mergeCell ref="A80:A81"/>
    <mergeCell ref="B80:B81"/>
    <mergeCell ref="C80:C81"/>
    <mergeCell ref="D80:D81"/>
    <mergeCell ref="E80:E81"/>
    <mergeCell ref="A216:E216"/>
    <mergeCell ref="A217:C217"/>
    <mergeCell ref="G217:I217"/>
    <mergeCell ref="A93:K93"/>
    <mergeCell ref="E94:F94"/>
    <mergeCell ref="F80:F81"/>
    <mergeCell ref="G80:G81"/>
    <mergeCell ref="A87:E87"/>
    <mergeCell ref="A88:C88"/>
    <mergeCell ref="G88:I88"/>
    <mergeCell ref="A89:E89"/>
    <mergeCell ref="A90:E90"/>
    <mergeCell ref="J80:J81"/>
    <mergeCell ref="K80:K81"/>
    <mergeCell ref="G166:G167"/>
    <mergeCell ref="H166:H167"/>
    <mergeCell ref="G174:I174"/>
    <mergeCell ref="G175:J175"/>
    <mergeCell ref="G176:J176"/>
    <mergeCell ref="I166:I167"/>
    <mergeCell ref="J166:J167"/>
    <mergeCell ref="A135:K135"/>
    <mergeCell ref="A136:K136"/>
    <mergeCell ref="E137:F137"/>
    <mergeCell ref="A166:A167"/>
    <mergeCell ref="B166:B167"/>
    <mergeCell ref="C166:C167"/>
    <mergeCell ref="D166:D167"/>
    <mergeCell ref="K166:K167"/>
    <mergeCell ref="E166:E167"/>
    <mergeCell ref="F166:F167"/>
    <mergeCell ref="A173:E173"/>
    <mergeCell ref="A174:C174"/>
    <mergeCell ref="A175:E175"/>
    <mergeCell ref="A176:E176"/>
    <mergeCell ref="A178:K178"/>
    <mergeCell ref="F209:F210"/>
    <mergeCell ref="G209:G210"/>
    <mergeCell ref="H209:H210"/>
    <mergeCell ref="I209:I210"/>
    <mergeCell ref="J209:J210"/>
    <mergeCell ref="K209:K210"/>
    <mergeCell ref="A179:K179"/>
    <mergeCell ref="E180:F180"/>
    <mergeCell ref="A209:A210"/>
    <mergeCell ref="B209:B210"/>
    <mergeCell ref="C209:C210"/>
    <mergeCell ref="D209:D210"/>
    <mergeCell ref="E209:E210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G45:I45"/>
    <mergeCell ref="G46:J46"/>
    <mergeCell ref="G47:J47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4:E44"/>
    <mergeCell ref="A45:C45"/>
    <mergeCell ref="A46:E46"/>
    <mergeCell ref="A47:E47"/>
    <mergeCell ref="A49:K49"/>
    <mergeCell ref="H80:H81"/>
    <mergeCell ref="I80:I81"/>
    <mergeCell ref="A130:E130"/>
    <mergeCell ref="A131:C131"/>
    <mergeCell ref="G131:I131"/>
    <mergeCell ref="A132:E132"/>
    <mergeCell ref="G132:J132"/>
    <mergeCell ref="A133:E133"/>
    <mergeCell ref="G133:J133"/>
    <mergeCell ref="H123:H124"/>
    <mergeCell ref="I123:I124"/>
    <mergeCell ref="J123:J124"/>
    <mergeCell ref="K123:K124"/>
    <mergeCell ref="A123:A124"/>
    <mergeCell ref="B123:B124"/>
    <mergeCell ref="C123:C124"/>
    <mergeCell ref="D123:D124"/>
    <mergeCell ref="E123:E124"/>
    <mergeCell ref="F123:F124"/>
    <mergeCell ref="G123:G124"/>
    <mergeCell ref="G89:J89"/>
    <mergeCell ref="G90:J90"/>
    <mergeCell ref="A92:K9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253"/>
  <sheetViews>
    <sheetView topLeftCell="A143" workbookViewId="0">
      <selection activeCell="D252" sqref="D252:D253"/>
    </sheetView>
  </sheetViews>
  <sheetFormatPr defaultColWidth="12.6328125" defaultRowHeight="15.75" customHeight="1" x14ac:dyDescent="0.25"/>
  <sheetData>
    <row r="1" spans="1:12" ht="15.75" customHeight="1" x14ac:dyDescent="0.35">
      <c r="A1" s="65" t="s">
        <v>0</v>
      </c>
      <c r="B1" s="66"/>
      <c r="C1" s="66"/>
      <c r="D1" s="66"/>
      <c r="E1" s="66"/>
      <c r="F1" s="2"/>
      <c r="G1" s="2"/>
      <c r="H1" s="2"/>
      <c r="I1" s="2"/>
      <c r="J1" s="2"/>
      <c r="K1" s="2"/>
      <c r="L1" s="16"/>
    </row>
    <row r="2" spans="1:12" ht="15.75" customHeight="1" x14ac:dyDescent="0.35">
      <c r="A2" s="65" t="s">
        <v>1</v>
      </c>
      <c r="B2" s="66"/>
      <c r="C2" s="66"/>
      <c r="D2" s="2"/>
      <c r="E2" s="2"/>
      <c r="F2" s="2"/>
      <c r="G2" s="65" t="s">
        <v>46</v>
      </c>
      <c r="H2" s="66"/>
      <c r="I2" s="66"/>
      <c r="J2" s="1"/>
      <c r="K2" s="2"/>
      <c r="L2" s="16"/>
    </row>
    <row r="3" spans="1:12" ht="15.75" customHeight="1" x14ac:dyDescent="0.35">
      <c r="A3" s="65" t="s">
        <v>3</v>
      </c>
      <c r="B3" s="66"/>
      <c r="C3" s="66"/>
      <c r="D3" s="66"/>
      <c r="E3" s="66"/>
      <c r="F3" s="2"/>
      <c r="G3" s="65" t="s">
        <v>4</v>
      </c>
      <c r="H3" s="66"/>
      <c r="I3" s="66"/>
      <c r="J3" s="66"/>
      <c r="K3" s="2"/>
      <c r="L3" s="16"/>
    </row>
    <row r="4" spans="1:12" ht="15.75" customHeight="1" x14ac:dyDescent="0.35">
      <c r="A4" s="65" t="s">
        <v>5</v>
      </c>
      <c r="B4" s="66"/>
      <c r="C4" s="66"/>
      <c r="D4" s="66"/>
      <c r="E4" s="66"/>
      <c r="F4" s="2"/>
      <c r="G4" s="65" t="s">
        <v>6</v>
      </c>
      <c r="H4" s="66"/>
      <c r="I4" s="66"/>
      <c r="J4" s="66"/>
      <c r="K4" s="2"/>
      <c r="L4" s="16"/>
    </row>
    <row r="5" spans="1:12" ht="15.7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  <c r="L5" s="16"/>
    </row>
    <row r="6" spans="1:12" ht="15.75" customHeight="1" x14ac:dyDescent="0.35">
      <c r="A6" s="60" t="s">
        <v>7</v>
      </c>
      <c r="B6" s="61"/>
      <c r="C6" s="61"/>
      <c r="D6" s="61"/>
      <c r="E6" s="61"/>
      <c r="F6" s="61"/>
      <c r="G6" s="61"/>
      <c r="H6" s="61"/>
      <c r="I6" s="61"/>
      <c r="J6" s="61"/>
      <c r="K6" s="62"/>
      <c r="L6" s="16"/>
    </row>
    <row r="7" spans="1:12" ht="15.75" customHeight="1" x14ac:dyDescent="0.35">
      <c r="A7" s="67" t="s">
        <v>8</v>
      </c>
      <c r="B7" s="68"/>
      <c r="C7" s="68"/>
      <c r="D7" s="68"/>
      <c r="E7" s="68"/>
      <c r="F7" s="68"/>
      <c r="G7" s="68"/>
      <c r="H7" s="68"/>
      <c r="I7" s="68"/>
      <c r="J7" s="68"/>
      <c r="K7" s="69"/>
      <c r="L7" s="16"/>
    </row>
    <row r="8" spans="1:12" ht="15.75" customHeight="1" x14ac:dyDescent="0.35">
      <c r="A8" s="4" t="s">
        <v>9</v>
      </c>
      <c r="B8" s="5"/>
      <c r="C8" s="5"/>
      <c r="D8" s="5"/>
      <c r="E8" s="70" t="s">
        <v>10</v>
      </c>
      <c r="F8" s="71"/>
      <c r="G8" s="5"/>
      <c r="H8" s="5"/>
      <c r="I8" s="5"/>
      <c r="J8" s="5"/>
      <c r="K8" s="6"/>
      <c r="L8" s="16"/>
    </row>
    <row r="9" spans="1:12" ht="15.75" customHeight="1" x14ac:dyDescent="0.35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  <c r="L9" s="16"/>
    </row>
    <row r="10" spans="1:12" ht="15.75" customHeight="1" x14ac:dyDescent="0.35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11">
        <v>-158</v>
      </c>
      <c r="L10" s="16"/>
    </row>
    <row r="11" spans="1:12" ht="15.75" customHeight="1" x14ac:dyDescent="0.35">
      <c r="A11" s="12" t="s">
        <v>23</v>
      </c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16"/>
    </row>
    <row r="12" spans="1:12" ht="15.75" customHeight="1" x14ac:dyDescent="0.3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16"/>
    </row>
    <row r="13" spans="1:12" ht="15.75" customHeight="1" x14ac:dyDescent="0.35">
      <c r="A13" s="12" t="s">
        <v>24</v>
      </c>
      <c r="B13" s="13">
        <v>14</v>
      </c>
      <c r="C13" s="13">
        <v>19</v>
      </c>
      <c r="D13" s="13">
        <v>2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4">
        <v>35</v>
      </c>
      <c r="L13" s="16"/>
    </row>
    <row r="14" spans="1:12" ht="15.75" customHeight="1" x14ac:dyDescent="0.3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16"/>
    </row>
    <row r="15" spans="1:12" ht="15.75" customHeight="1" x14ac:dyDescent="0.35">
      <c r="A15" s="12" t="s">
        <v>25</v>
      </c>
      <c r="B15" s="13">
        <v>11</v>
      </c>
      <c r="C15" s="13">
        <v>26</v>
      </c>
      <c r="D15" s="13">
        <v>1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4">
        <v>38</v>
      </c>
      <c r="L15" s="16"/>
    </row>
    <row r="16" spans="1:12" ht="15.75" customHeight="1" x14ac:dyDescent="0.3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4"/>
      <c r="L16" s="16"/>
    </row>
    <row r="17" spans="1:12" ht="15.75" customHeight="1" x14ac:dyDescent="0.35">
      <c r="A17" s="12" t="s">
        <v>26</v>
      </c>
      <c r="B17" s="13">
        <v>16</v>
      </c>
      <c r="C17" s="13">
        <v>23</v>
      </c>
      <c r="D17" s="13">
        <v>1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4">
        <v>40</v>
      </c>
      <c r="L17" s="16"/>
    </row>
    <row r="18" spans="1:12" ht="15.75" customHeight="1" x14ac:dyDescent="0.35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4"/>
      <c r="L18" s="16"/>
    </row>
    <row r="19" spans="1:12" ht="15.75" customHeight="1" x14ac:dyDescent="0.35">
      <c r="A19" s="12" t="s">
        <v>27</v>
      </c>
      <c r="B19" s="13">
        <v>5</v>
      </c>
      <c r="C19" s="13">
        <v>4</v>
      </c>
      <c r="D19" s="13">
        <v>1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4">
        <v>10</v>
      </c>
      <c r="L19" s="16"/>
    </row>
    <row r="20" spans="1:12" ht="14.5" x14ac:dyDescent="0.3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4"/>
      <c r="L20" s="16"/>
    </row>
    <row r="21" spans="1:12" ht="14.5" x14ac:dyDescent="0.35">
      <c r="A21" s="12" t="s">
        <v>28</v>
      </c>
      <c r="B21" s="13">
        <v>4</v>
      </c>
      <c r="C21" s="13">
        <v>4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4">
        <v>8</v>
      </c>
      <c r="L21" s="16"/>
    </row>
    <row r="22" spans="1:12" ht="14.5" x14ac:dyDescent="0.3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16"/>
    </row>
    <row r="23" spans="1:12" ht="14.5" x14ac:dyDescent="0.35">
      <c r="A23" s="12" t="s">
        <v>29</v>
      </c>
      <c r="B23" s="13">
        <v>14</v>
      </c>
      <c r="C23" s="13">
        <v>8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4">
        <v>22</v>
      </c>
      <c r="L23" s="16"/>
    </row>
    <row r="24" spans="1:12" ht="14.5" x14ac:dyDescent="0.3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4"/>
      <c r="L24" s="16"/>
    </row>
    <row r="25" spans="1:12" ht="14.5" x14ac:dyDescent="0.35">
      <c r="A25" s="12" t="s">
        <v>30</v>
      </c>
      <c r="B25" s="13">
        <v>7</v>
      </c>
      <c r="C25" s="13">
        <v>14</v>
      </c>
      <c r="D25" s="13">
        <v>1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4">
        <v>22</v>
      </c>
      <c r="L25" s="16"/>
    </row>
    <row r="26" spans="1:12" ht="14.5" x14ac:dyDescent="0.3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4"/>
      <c r="L26" s="16"/>
    </row>
    <row r="27" spans="1:12" ht="14.5" x14ac:dyDescent="0.35">
      <c r="A27" s="12" t="s">
        <v>31</v>
      </c>
      <c r="B27" s="13">
        <v>10</v>
      </c>
      <c r="C27" s="13">
        <v>10</v>
      </c>
      <c r="D27" s="13">
        <v>1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4">
        <v>21</v>
      </c>
      <c r="L27" s="16"/>
    </row>
    <row r="28" spans="1:12" ht="14.5" x14ac:dyDescent="0.3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4"/>
      <c r="L28" s="16"/>
    </row>
    <row r="29" spans="1:12" ht="14.5" x14ac:dyDescent="0.35">
      <c r="A29" s="12" t="s">
        <v>32</v>
      </c>
      <c r="B29" s="13">
        <v>5</v>
      </c>
      <c r="C29" s="13">
        <v>3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4">
        <v>8</v>
      </c>
      <c r="L29" s="16"/>
    </row>
    <row r="30" spans="1:12" ht="14.5" x14ac:dyDescent="0.35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4"/>
      <c r="L30" s="16"/>
    </row>
    <row r="31" spans="1:12" ht="14.5" x14ac:dyDescent="0.35">
      <c r="A31" s="12" t="s">
        <v>33</v>
      </c>
      <c r="B31" s="13">
        <v>3</v>
      </c>
      <c r="C31" s="13">
        <v>5</v>
      </c>
      <c r="D31" s="13">
        <v>1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4">
        <v>9</v>
      </c>
      <c r="L31" s="16"/>
    </row>
    <row r="32" spans="1:12" ht="14.5" x14ac:dyDescent="0.3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4"/>
      <c r="L32" s="16"/>
    </row>
    <row r="33" spans="1:12" ht="14.5" x14ac:dyDescent="0.35">
      <c r="A33" s="12" t="s">
        <v>34</v>
      </c>
      <c r="B33" s="13">
        <v>5</v>
      </c>
      <c r="C33" s="13">
        <v>8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4">
        <v>14</v>
      </c>
      <c r="L33" s="16"/>
    </row>
    <row r="34" spans="1:12" ht="14.5" x14ac:dyDescent="0.35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4"/>
      <c r="L34" s="16"/>
    </row>
    <row r="35" spans="1:12" ht="14.5" x14ac:dyDescent="0.35">
      <c r="A35" s="12" t="s">
        <v>35</v>
      </c>
      <c r="B35" s="13">
        <v>9</v>
      </c>
      <c r="C35" s="13">
        <v>18</v>
      </c>
      <c r="D35" s="13">
        <v>3</v>
      </c>
      <c r="E35" s="13">
        <v>1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4">
        <v>31</v>
      </c>
      <c r="L35" s="16"/>
    </row>
    <row r="36" spans="1:12" ht="14.5" x14ac:dyDescent="0.35">
      <c r="A36" s="15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6"/>
    </row>
    <row r="37" spans="1:12" ht="14.5" x14ac:dyDescent="0.35">
      <c r="A37" s="63" t="s">
        <v>21</v>
      </c>
      <c r="B37" s="63">
        <v>103</v>
      </c>
      <c r="C37" s="63">
        <v>142</v>
      </c>
      <c r="D37" s="63">
        <v>12</v>
      </c>
      <c r="E37" s="63">
        <v>1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100</v>
      </c>
      <c r="L37" s="16"/>
    </row>
    <row r="38" spans="1:12" ht="14.5" x14ac:dyDescent="0.3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16"/>
    </row>
    <row r="39" spans="1:12" ht="14.5" x14ac:dyDescent="0.3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16"/>
    </row>
    <row r="40" spans="1:12" ht="14.5" x14ac:dyDescent="0.3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16"/>
    </row>
    <row r="41" spans="1:12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2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ht="14.5" x14ac:dyDescent="0.35">
      <c r="A44" s="65" t="s">
        <v>0</v>
      </c>
      <c r="B44" s="66"/>
      <c r="C44" s="66"/>
      <c r="D44" s="66"/>
      <c r="E44" s="66"/>
      <c r="F44" s="2"/>
      <c r="G44" s="2"/>
      <c r="H44" s="2"/>
      <c r="I44" s="2"/>
      <c r="J44" s="2"/>
      <c r="K44" s="2"/>
      <c r="L44" s="16"/>
    </row>
    <row r="45" spans="1:12" ht="14.5" x14ac:dyDescent="0.35">
      <c r="A45" s="65" t="s">
        <v>1</v>
      </c>
      <c r="B45" s="66"/>
      <c r="C45" s="66"/>
      <c r="D45" s="2"/>
      <c r="E45" s="2"/>
      <c r="F45" s="2"/>
      <c r="G45" s="65" t="s">
        <v>47</v>
      </c>
      <c r="H45" s="66"/>
      <c r="I45" s="66"/>
      <c r="J45" s="1"/>
      <c r="K45" s="2"/>
      <c r="L45" s="16"/>
    </row>
    <row r="46" spans="1:12" ht="14.5" x14ac:dyDescent="0.35">
      <c r="A46" s="65" t="s">
        <v>3</v>
      </c>
      <c r="B46" s="66"/>
      <c r="C46" s="66"/>
      <c r="D46" s="66"/>
      <c r="E46" s="66"/>
      <c r="F46" s="2"/>
      <c r="G46" s="65" t="s">
        <v>4</v>
      </c>
      <c r="H46" s="66"/>
      <c r="I46" s="66"/>
      <c r="J46" s="66"/>
      <c r="K46" s="2"/>
      <c r="L46" s="16"/>
    </row>
    <row r="47" spans="1:12" ht="14.5" x14ac:dyDescent="0.35">
      <c r="A47" s="65" t="s">
        <v>5</v>
      </c>
      <c r="B47" s="66"/>
      <c r="C47" s="66"/>
      <c r="D47" s="66"/>
      <c r="E47" s="66"/>
      <c r="F47" s="2"/>
      <c r="G47" s="65" t="s">
        <v>6</v>
      </c>
      <c r="H47" s="66"/>
      <c r="I47" s="66"/>
      <c r="J47" s="66"/>
      <c r="K47" s="2"/>
      <c r="L47" s="16"/>
    </row>
    <row r="48" spans="1:12" ht="14.5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  <c r="L48" s="16"/>
    </row>
    <row r="49" spans="1:12" ht="14.5" x14ac:dyDescent="0.35">
      <c r="A49" s="60" t="s">
        <v>7</v>
      </c>
      <c r="B49" s="61"/>
      <c r="C49" s="61"/>
      <c r="D49" s="61"/>
      <c r="E49" s="61"/>
      <c r="F49" s="61"/>
      <c r="G49" s="61"/>
      <c r="H49" s="61"/>
      <c r="I49" s="61"/>
      <c r="J49" s="61"/>
      <c r="K49" s="62"/>
      <c r="L49" s="16"/>
    </row>
    <row r="50" spans="1:12" ht="14.5" x14ac:dyDescent="0.35">
      <c r="A50" s="67" t="s">
        <v>8</v>
      </c>
      <c r="B50" s="68"/>
      <c r="C50" s="68"/>
      <c r="D50" s="68"/>
      <c r="E50" s="68"/>
      <c r="F50" s="68"/>
      <c r="G50" s="68"/>
      <c r="H50" s="68"/>
      <c r="I50" s="68"/>
      <c r="J50" s="68"/>
      <c r="K50" s="69"/>
      <c r="L50" s="16"/>
    </row>
    <row r="51" spans="1:12" ht="14.5" x14ac:dyDescent="0.35">
      <c r="A51" s="4" t="s">
        <v>9</v>
      </c>
      <c r="B51" s="5"/>
      <c r="C51" s="5"/>
      <c r="D51" s="5"/>
      <c r="E51" s="70" t="s">
        <v>10</v>
      </c>
      <c r="F51" s="71"/>
      <c r="G51" s="5"/>
      <c r="H51" s="5"/>
      <c r="I51" s="5"/>
      <c r="J51" s="5"/>
      <c r="K51" s="6"/>
      <c r="L51" s="16"/>
    </row>
    <row r="52" spans="1:12" ht="14.5" x14ac:dyDescent="0.35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  <c r="L52" s="16"/>
    </row>
    <row r="53" spans="1:12" ht="14.5" x14ac:dyDescent="0.35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11">
        <v>-202</v>
      </c>
      <c r="L53" s="16"/>
    </row>
    <row r="54" spans="1:12" ht="14.5" x14ac:dyDescent="0.35">
      <c r="A54" s="12" t="s">
        <v>23</v>
      </c>
      <c r="B54" s="13"/>
      <c r="C54" s="13"/>
      <c r="D54" s="13"/>
      <c r="E54" s="13"/>
      <c r="F54" s="13"/>
      <c r="G54" s="13"/>
      <c r="H54" s="13"/>
      <c r="I54" s="13"/>
      <c r="J54" s="13"/>
      <c r="K54" s="14"/>
      <c r="L54" s="16"/>
    </row>
    <row r="55" spans="1:12" ht="14.5" x14ac:dyDescent="0.35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4"/>
      <c r="L55" s="16"/>
    </row>
    <row r="56" spans="1:12" ht="14.5" x14ac:dyDescent="0.35">
      <c r="A56" s="12" t="s">
        <v>24</v>
      </c>
      <c r="B56" s="13">
        <v>11</v>
      </c>
      <c r="C56" s="13">
        <v>24</v>
      </c>
      <c r="D56" s="13">
        <v>1</v>
      </c>
      <c r="E56" s="13">
        <v>0</v>
      </c>
      <c r="F56" s="13">
        <v>0</v>
      </c>
      <c r="G56" s="13">
        <v>1</v>
      </c>
      <c r="H56" s="13">
        <v>0</v>
      </c>
      <c r="I56" s="13">
        <v>0</v>
      </c>
      <c r="J56" s="13">
        <v>0</v>
      </c>
      <c r="K56" s="14">
        <v>37</v>
      </c>
      <c r="L56" s="16"/>
    </row>
    <row r="57" spans="1:12" ht="14.5" x14ac:dyDescent="0.35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4"/>
      <c r="L57" s="16"/>
    </row>
    <row r="58" spans="1:12" ht="14.5" x14ac:dyDescent="0.35">
      <c r="A58" s="12" t="s">
        <v>25</v>
      </c>
      <c r="B58" s="13">
        <v>25</v>
      </c>
      <c r="C58" s="13">
        <v>8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33</v>
      </c>
      <c r="L58" s="16"/>
    </row>
    <row r="59" spans="1:12" ht="14.5" x14ac:dyDescent="0.35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4"/>
      <c r="L59" s="16"/>
    </row>
    <row r="60" spans="1:12" ht="14.5" x14ac:dyDescent="0.35">
      <c r="A60" s="12" t="s">
        <v>26</v>
      </c>
      <c r="B60" s="13">
        <v>19</v>
      </c>
      <c r="C60" s="13">
        <v>6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25</v>
      </c>
      <c r="L60" s="16"/>
    </row>
    <row r="61" spans="1:12" ht="14.5" x14ac:dyDescent="0.35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4"/>
      <c r="L61" s="16"/>
    </row>
    <row r="62" spans="1:12" ht="14.5" x14ac:dyDescent="0.35">
      <c r="A62" s="12" t="s">
        <v>27</v>
      </c>
      <c r="B62" s="13">
        <v>6</v>
      </c>
      <c r="C62" s="13">
        <v>4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10</v>
      </c>
      <c r="L62" s="16"/>
    </row>
    <row r="63" spans="1:12" ht="14.5" x14ac:dyDescent="0.35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4"/>
      <c r="L63" s="16"/>
    </row>
    <row r="64" spans="1:12" ht="14.5" x14ac:dyDescent="0.35">
      <c r="A64" s="12" t="s">
        <v>28</v>
      </c>
      <c r="B64" s="13">
        <v>3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4</v>
      </c>
      <c r="L64" s="16"/>
    </row>
    <row r="65" spans="1:12" ht="14.5" x14ac:dyDescent="0.35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4"/>
      <c r="L65" s="16"/>
    </row>
    <row r="66" spans="1:12" ht="14.5" x14ac:dyDescent="0.35">
      <c r="A66" s="12" t="s">
        <v>29</v>
      </c>
      <c r="B66" s="13">
        <v>5</v>
      </c>
      <c r="C66" s="13">
        <v>7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12</v>
      </c>
      <c r="L66" s="16"/>
    </row>
    <row r="67" spans="1:12" ht="14.5" x14ac:dyDescent="0.35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4"/>
      <c r="L67" s="16"/>
    </row>
    <row r="68" spans="1:12" ht="14.5" x14ac:dyDescent="0.35">
      <c r="A68" s="12" t="s">
        <v>30</v>
      </c>
      <c r="B68" s="13">
        <v>9</v>
      </c>
      <c r="C68" s="13">
        <v>10</v>
      </c>
      <c r="D68" s="13">
        <v>0</v>
      </c>
      <c r="E68" s="13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20</v>
      </c>
      <c r="L68" s="16"/>
    </row>
    <row r="69" spans="1:12" ht="14.5" x14ac:dyDescent="0.35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4"/>
      <c r="L69" s="16"/>
    </row>
    <row r="70" spans="1:12" ht="14.5" x14ac:dyDescent="0.35">
      <c r="A70" s="12" t="s">
        <v>31</v>
      </c>
      <c r="B70" s="13">
        <v>11</v>
      </c>
      <c r="C70" s="13">
        <v>7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19</v>
      </c>
      <c r="L70" s="16"/>
    </row>
    <row r="71" spans="1:12" ht="14.5" x14ac:dyDescent="0.35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4"/>
      <c r="L71" s="16"/>
    </row>
    <row r="72" spans="1:12" ht="14.5" x14ac:dyDescent="0.35">
      <c r="A72" s="12" t="s">
        <v>32</v>
      </c>
      <c r="B72" s="13">
        <v>4</v>
      </c>
      <c r="C72" s="13">
        <v>5</v>
      </c>
      <c r="D72" s="13">
        <v>2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11</v>
      </c>
      <c r="L72" s="16"/>
    </row>
    <row r="73" spans="1:12" ht="14.5" x14ac:dyDescent="0.35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4"/>
      <c r="L73" s="16"/>
    </row>
    <row r="74" spans="1:12" ht="14.5" x14ac:dyDescent="0.35">
      <c r="A74" s="12" t="s">
        <v>33</v>
      </c>
      <c r="B74" s="13">
        <v>13</v>
      </c>
      <c r="C74" s="13">
        <v>5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18</v>
      </c>
      <c r="L74" s="16"/>
    </row>
    <row r="75" spans="1:12" ht="14.5" x14ac:dyDescent="0.35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4"/>
      <c r="L75" s="16"/>
    </row>
    <row r="76" spans="1:12" ht="14.5" x14ac:dyDescent="0.35">
      <c r="A76" s="12" t="s">
        <v>34</v>
      </c>
      <c r="B76" s="13">
        <v>19</v>
      </c>
      <c r="C76" s="13">
        <v>20</v>
      </c>
      <c r="D76" s="13">
        <v>4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43</v>
      </c>
      <c r="L76" s="16"/>
    </row>
    <row r="77" spans="1:12" ht="14.5" x14ac:dyDescent="0.35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4"/>
      <c r="L77" s="16"/>
    </row>
    <row r="78" spans="1:12" ht="14.5" x14ac:dyDescent="0.35">
      <c r="A78" s="12" t="s">
        <v>35</v>
      </c>
      <c r="B78" s="13">
        <v>24</v>
      </c>
      <c r="C78" s="13">
        <v>43</v>
      </c>
      <c r="D78" s="13">
        <v>3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70</v>
      </c>
      <c r="L78" s="16"/>
    </row>
    <row r="79" spans="1:12" ht="14.5" x14ac:dyDescent="0.3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6"/>
    </row>
    <row r="80" spans="1:12" ht="14.5" x14ac:dyDescent="0.35">
      <c r="A80" s="63" t="s">
        <v>21</v>
      </c>
      <c r="B80" s="63">
        <v>149</v>
      </c>
      <c r="C80" s="63">
        <v>140</v>
      </c>
      <c r="D80" s="63">
        <v>11</v>
      </c>
      <c r="E80" s="63">
        <v>1</v>
      </c>
      <c r="F80" s="63">
        <v>0</v>
      </c>
      <c r="G80" s="63">
        <v>1</v>
      </c>
      <c r="H80" s="63">
        <v>0</v>
      </c>
      <c r="I80" s="63">
        <v>0</v>
      </c>
      <c r="J80" s="63">
        <v>0</v>
      </c>
      <c r="K80" s="63">
        <v>100</v>
      </c>
      <c r="L80" s="16"/>
    </row>
    <row r="81" spans="1:24" ht="14.5" x14ac:dyDescent="0.3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16"/>
    </row>
    <row r="82" spans="1:24" ht="14.5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 ht="14.5" x14ac:dyDescent="0.3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1:24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1:24" ht="14.5" x14ac:dyDescent="0.35">
      <c r="A85" s="16"/>
    </row>
    <row r="86" spans="1:24" ht="14.5" x14ac:dyDescent="0.35">
      <c r="A86" s="16"/>
    </row>
    <row r="87" spans="1:24" ht="14" x14ac:dyDescent="0.3">
      <c r="A87" s="65" t="s">
        <v>0</v>
      </c>
      <c r="B87" s="65"/>
      <c r="C87" s="65"/>
      <c r="D87" s="65"/>
      <c r="E87" s="65"/>
      <c r="F87" s="2"/>
      <c r="G87" s="2"/>
      <c r="H87" s="2"/>
      <c r="I87" s="2"/>
      <c r="J87" s="2"/>
      <c r="K87" s="2"/>
    </row>
    <row r="88" spans="1:24" ht="14" x14ac:dyDescent="0.3">
      <c r="A88" s="65" t="s">
        <v>1</v>
      </c>
      <c r="B88" s="65"/>
      <c r="C88" s="65"/>
      <c r="D88" s="2"/>
      <c r="E88" s="2"/>
      <c r="F88" s="2"/>
      <c r="G88" s="65" t="s">
        <v>48</v>
      </c>
      <c r="H88" s="65"/>
      <c r="I88" s="65"/>
      <c r="J88" s="1"/>
      <c r="K88" s="2"/>
    </row>
    <row r="89" spans="1:24" ht="14" x14ac:dyDescent="0.3">
      <c r="A89" s="65" t="s">
        <v>3</v>
      </c>
      <c r="B89" s="65"/>
      <c r="C89" s="65"/>
      <c r="D89" s="65"/>
      <c r="E89" s="65"/>
      <c r="F89" s="2"/>
      <c r="G89" s="65" t="s">
        <v>4</v>
      </c>
      <c r="H89" s="65"/>
      <c r="I89" s="65"/>
      <c r="J89" s="65"/>
      <c r="K89" s="2"/>
    </row>
    <row r="90" spans="1:24" ht="14" x14ac:dyDescent="0.3">
      <c r="A90" s="65" t="s">
        <v>5</v>
      </c>
      <c r="B90" s="65"/>
      <c r="C90" s="65"/>
      <c r="D90" s="65"/>
      <c r="E90" s="65"/>
      <c r="F90" s="2"/>
      <c r="G90" s="65" t="s">
        <v>6</v>
      </c>
      <c r="H90" s="65"/>
      <c r="I90" s="65"/>
      <c r="J90" s="65"/>
      <c r="K90" s="2"/>
    </row>
    <row r="91" spans="1:24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24" ht="14" x14ac:dyDescent="0.3">
      <c r="A92" s="60" t="s">
        <v>7</v>
      </c>
      <c r="B92" s="86"/>
      <c r="C92" s="86"/>
      <c r="D92" s="86"/>
      <c r="E92" s="86"/>
      <c r="F92" s="86"/>
      <c r="G92" s="86"/>
      <c r="H92" s="86"/>
      <c r="I92" s="86"/>
      <c r="J92" s="86"/>
      <c r="K92" s="87"/>
    </row>
    <row r="93" spans="1:24" ht="14" x14ac:dyDescent="0.3">
      <c r="A93" s="67" t="s">
        <v>8</v>
      </c>
      <c r="B93" s="88"/>
      <c r="C93" s="88"/>
      <c r="D93" s="88"/>
      <c r="E93" s="88"/>
      <c r="F93" s="88"/>
      <c r="G93" s="88"/>
      <c r="H93" s="88"/>
      <c r="I93" s="88"/>
      <c r="J93" s="88"/>
      <c r="K93" s="89"/>
    </row>
    <row r="94" spans="1:24" ht="14" x14ac:dyDescent="0.3">
      <c r="A94" s="4" t="s">
        <v>9</v>
      </c>
      <c r="B94" s="5"/>
      <c r="C94" s="5"/>
      <c r="D94" s="5"/>
      <c r="E94" s="70" t="s">
        <v>10</v>
      </c>
      <c r="F94" s="70"/>
      <c r="G94" s="5"/>
      <c r="H94" s="5"/>
      <c r="I94" s="5"/>
      <c r="J94" s="5"/>
      <c r="K94" s="6"/>
    </row>
    <row r="95" spans="1:24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24" ht="12.5" x14ac:dyDescent="0.25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11">
        <v>-311</v>
      </c>
    </row>
    <row r="97" spans="1:11" ht="14" x14ac:dyDescent="0.3">
      <c r="A97" s="12" t="s">
        <v>23</v>
      </c>
      <c r="B97" s="18"/>
      <c r="C97" s="18"/>
      <c r="D97" s="18"/>
      <c r="E97" s="18"/>
      <c r="F97" s="18"/>
      <c r="G97" s="18"/>
      <c r="H97" s="18"/>
      <c r="I97" s="18"/>
      <c r="J97" s="18"/>
      <c r="K97" s="19"/>
    </row>
    <row r="98" spans="1:11" ht="14" x14ac:dyDescent="0.3">
      <c r="A98" s="12"/>
      <c r="B98" s="18"/>
      <c r="C98" s="18"/>
      <c r="D98" s="18"/>
      <c r="E98" s="18"/>
      <c r="F98" s="18"/>
      <c r="G98" s="18"/>
      <c r="H98" s="18"/>
      <c r="I98" s="18"/>
      <c r="J98" s="18"/>
      <c r="K98" s="19"/>
    </row>
    <row r="99" spans="1:11" ht="14" x14ac:dyDescent="0.3">
      <c r="A99" s="12" t="s">
        <v>24</v>
      </c>
      <c r="B99" s="18">
        <v>10</v>
      </c>
      <c r="C99" s="18">
        <v>11</v>
      </c>
      <c r="D99" s="18">
        <v>2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9">
        <v>23</v>
      </c>
    </row>
    <row r="100" spans="1:11" ht="14" x14ac:dyDescent="0.3">
      <c r="A100" s="12"/>
      <c r="B100" s="18"/>
      <c r="C100" s="18"/>
      <c r="D100" s="18"/>
      <c r="E100" s="18"/>
      <c r="F100" s="18"/>
      <c r="G100" s="18"/>
      <c r="H100" s="18"/>
      <c r="I100" s="18"/>
      <c r="J100" s="18"/>
      <c r="K100" s="19"/>
    </row>
    <row r="101" spans="1:11" ht="14" x14ac:dyDescent="0.3">
      <c r="A101" s="12" t="s">
        <v>25</v>
      </c>
      <c r="B101" s="18">
        <v>18</v>
      </c>
      <c r="C101" s="18">
        <v>32</v>
      </c>
      <c r="D101" s="18">
        <v>2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9">
        <v>52</v>
      </c>
    </row>
    <row r="102" spans="1:11" ht="14" x14ac:dyDescent="0.3">
      <c r="A102" s="12"/>
      <c r="B102" s="18"/>
      <c r="C102" s="18"/>
      <c r="D102" s="18"/>
      <c r="E102" s="18"/>
      <c r="F102" s="18"/>
      <c r="G102" s="18"/>
      <c r="H102" s="18"/>
      <c r="I102" s="18"/>
      <c r="J102" s="18"/>
      <c r="K102" s="19"/>
    </row>
    <row r="103" spans="1:11" ht="14" x14ac:dyDescent="0.3">
      <c r="A103" s="12" t="s">
        <v>26</v>
      </c>
      <c r="B103" s="18">
        <v>41</v>
      </c>
      <c r="C103" s="18">
        <v>33</v>
      </c>
      <c r="D103" s="18">
        <v>4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9">
        <v>78</v>
      </c>
    </row>
    <row r="104" spans="1:11" ht="14" x14ac:dyDescent="0.3">
      <c r="A104" s="12"/>
      <c r="B104" s="18"/>
      <c r="C104" s="18"/>
      <c r="D104" s="18"/>
      <c r="E104" s="18"/>
      <c r="F104" s="18"/>
      <c r="G104" s="18"/>
      <c r="H104" s="18"/>
      <c r="I104" s="18"/>
      <c r="J104" s="18"/>
      <c r="K104" s="19"/>
    </row>
    <row r="105" spans="1:11" ht="14" x14ac:dyDescent="0.3">
      <c r="A105" s="12" t="s">
        <v>27</v>
      </c>
      <c r="B105" s="18">
        <v>31</v>
      </c>
      <c r="C105" s="18">
        <v>22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9">
        <v>53</v>
      </c>
    </row>
    <row r="106" spans="1:11" ht="14" x14ac:dyDescent="0.3">
      <c r="A106" s="12"/>
      <c r="B106" s="18"/>
      <c r="C106" s="18"/>
      <c r="D106" s="18"/>
      <c r="E106" s="18"/>
      <c r="F106" s="18"/>
      <c r="G106" s="18"/>
      <c r="H106" s="18"/>
      <c r="I106" s="18"/>
      <c r="J106" s="18"/>
      <c r="K106" s="19"/>
    </row>
    <row r="107" spans="1:11" ht="14" x14ac:dyDescent="0.3">
      <c r="A107" s="12" t="s">
        <v>28</v>
      </c>
      <c r="B107" s="18">
        <v>17</v>
      </c>
      <c r="C107" s="18">
        <v>7</v>
      </c>
      <c r="D107" s="18">
        <v>1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9">
        <v>25</v>
      </c>
    </row>
    <row r="108" spans="1:11" ht="14" x14ac:dyDescent="0.3">
      <c r="A108" s="12"/>
      <c r="B108" s="18"/>
      <c r="C108" s="18"/>
      <c r="D108" s="18"/>
      <c r="E108" s="18"/>
      <c r="F108" s="18"/>
      <c r="G108" s="18"/>
      <c r="H108" s="18"/>
      <c r="I108" s="18"/>
      <c r="J108" s="18"/>
      <c r="K108" s="19"/>
    </row>
    <row r="109" spans="1:11" ht="14" x14ac:dyDescent="0.3">
      <c r="A109" s="12" t="s">
        <v>29</v>
      </c>
      <c r="B109" s="18">
        <v>21</v>
      </c>
      <c r="C109" s="18">
        <v>7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9">
        <v>28</v>
      </c>
    </row>
    <row r="110" spans="1:11" ht="14" x14ac:dyDescent="0.3">
      <c r="A110" s="12"/>
      <c r="B110" s="18"/>
      <c r="C110" s="18"/>
      <c r="D110" s="18"/>
      <c r="E110" s="18"/>
      <c r="F110" s="18"/>
      <c r="G110" s="18"/>
      <c r="H110" s="18"/>
      <c r="I110" s="18"/>
      <c r="J110" s="18"/>
      <c r="K110" s="19"/>
    </row>
    <row r="111" spans="1:11" ht="14" x14ac:dyDescent="0.3">
      <c r="A111" s="12" t="s">
        <v>30</v>
      </c>
      <c r="B111" s="18">
        <v>17</v>
      </c>
      <c r="C111" s="18">
        <v>8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9">
        <v>25</v>
      </c>
    </row>
    <row r="112" spans="1:11" ht="14" x14ac:dyDescent="0.3">
      <c r="A112" s="12"/>
      <c r="B112" s="18"/>
      <c r="C112" s="18"/>
      <c r="D112" s="18"/>
      <c r="E112" s="18"/>
      <c r="F112" s="18"/>
      <c r="G112" s="18"/>
      <c r="H112" s="18"/>
      <c r="I112" s="18"/>
      <c r="J112" s="18"/>
      <c r="K112" s="19"/>
    </row>
    <row r="113" spans="1:11" ht="14" x14ac:dyDescent="0.3">
      <c r="A113" s="12" t="s">
        <v>31</v>
      </c>
      <c r="B113" s="18">
        <v>19</v>
      </c>
      <c r="C113" s="18">
        <v>13</v>
      </c>
      <c r="D113" s="18">
        <v>1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9">
        <v>33</v>
      </c>
    </row>
    <row r="114" spans="1:11" ht="14" x14ac:dyDescent="0.3">
      <c r="A114" s="12"/>
      <c r="B114" s="18"/>
      <c r="C114" s="18"/>
      <c r="D114" s="18"/>
      <c r="E114" s="18"/>
      <c r="F114" s="18"/>
      <c r="G114" s="18"/>
      <c r="H114" s="18"/>
      <c r="I114" s="18"/>
      <c r="J114" s="18"/>
      <c r="K114" s="19"/>
    </row>
    <row r="115" spans="1:11" ht="14" x14ac:dyDescent="0.3">
      <c r="A115" s="12" t="s">
        <v>32</v>
      </c>
      <c r="B115" s="18">
        <v>12</v>
      </c>
      <c r="C115" s="18">
        <v>3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9">
        <v>15</v>
      </c>
    </row>
    <row r="116" spans="1:11" ht="14" x14ac:dyDescent="0.3">
      <c r="A116" s="12"/>
      <c r="B116" s="18"/>
      <c r="C116" s="18"/>
      <c r="D116" s="18"/>
      <c r="E116" s="18"/>
      <c r="F116" s="18"/>
      <c r="G116" s="18"/>
      <c r="H116" s="18"/>
      <c r="I116" s="18"/>
      <c r="J116" s="18"/>
      <c r="K116" s="19"/>
    </row>
    <row r="117" spans="1:11" ht="14" x14ac:dyDescent="0.3">
      <c r="A117" s="12" t="s">
        <v>33</v>
      </c>
      <c r="B117" s="18">
        <v>8</v>
      </c>
      <c r="C117" s="18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9">
        <v>8</v>
      </c>
    </row>
    <row r="118" spans="1:11" ht="14" x14ac:dyDescent="0.3">
      <c r="A118" s="12"/>
      <c r="B118" s="18"/>
      <c r="C118" s="18"/>
      <c r="D118" s="18"/>
      <c r="E118" s="18"/>
      <c r="F118" s="18"/>
      <c r="G118" s="18"/>
      <c r="H118" s="18"/>
      <c r="I118" s="18"/>
      <c r="J118" s="18"/>
      <c r="K118" s="19"/>
    </row>
    <row r="119" spans="1:11" ht="14" x14ac:dyDescent="0.3">
      <c r="A119" s="12" t="s">
        <v>34</v>
      </c>
      <c r="B119" s="18">
        <v>12</v>
      </c>
      <c r="C119" s="18">
        <v>9</v>
      </c>
      <c r="D119" s="18">
        <v>0</v>
      </c>
      <c r="E119" s="18">
        <v>1</v>
      </c>
      <c r="F119" s="18">
        <v>1</v>
      </c>
      <c r="G119" s="18">
        <v>0</v>
      </c>
      <c r="H119" s="18">
        <v>0</v>
      </c>
      <c r="I119" s="18">
        <v>0</v>
      </c>
      <c r="J119" s="18">
        <v>0</v>
      </c>
      <c r="K119" s="19">
        <v>23</v>
      </c>
    </row>
    <row r="120" spans="1:11" ht="14" x14ac:dyDescent="0.3">
      <c r="A120" s="12"/>
      <c r="B120" s="18"/>
      <c r="C120" s="18"/>
      <c r="D120" s="18"/>
      <c r="E120" s="18"/>
      <c r="F120" s="18"/>
      <c r="G120" s="18"/>
      <c r="H120" s="18"/>
      <c r="I120" s="18"/>
      <c r="J120" s="18"/>
      <c r="K120" s="19"/>
    </row>
    <row r="121" spans="1:11" ht="14" x14ac:dyDescent="0.3">
      <c r="A121" s="12" t="s">
        <v>35</v>
      </c>
      <c r="B121" s="18">
        <v>31</v>
      </c>
      <c r="C121" s="18">
        <v>16</v>
      </c>
      <c r="D121" s="18">
        <v>1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9">
        <v>48</v>
      </c>
    </row>
    <row r="122" spans="1:11" ht="14" x14ac:dyDescent="0.3">
      <c r="A122" s="15"/>
      <c r="B122" s="19"/>
      <c r="C122" s="19"/>
      <c r="D122" s="19"/>
      <c r="E122" s="19"/>
      <c r="F122" s="19"/>
      <c r="G122" s="19"/>
      <c r="H122" s="19"/>
      <c r="I122" s="19"/>
      <c r="J122" s="19"/>
      <c r="K122" s="19"/>
    </row>
    <row r="123" spans="1:11" ht="12.5" x14ac:dyDescent="0.25">
      <c r="A123" s="84" t="s">
        <v>21</v>
      </c>
      <c r="B123" s="84">
        <v>237</v>
      </c>
      <c r="C123" s="84">
        <v>161</v>
      </c>
      <c r="D123" s="84">
        <v>11</v>
      </c>
      <c r="E123" s="84">
        <v>1</v>
      </c>
      <c r="F123" s="84">
        <v>1</v>
      </c>
      <c r="G123" s="84">
        <v>0</v>
      </c>
      <c r="H123" s="84">
        <v>0</v>
      </c>
      <c r="I123" s="84">
        <v>0</v>
      </c>
      <c r="J123" s="84">
        <v>0</v>
      </c>
      <c r="K123" s="84">
        <v>100</v>
      </c>
    </row>
    <row r="124" spans="1:11" ht="12.5" x14ac:dyDescent="0.25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</row>
    <row r="125" spans="1:11" ht="14.5" x14ac:dyDescent="0.35">
      <c r="A125" s="16"/>
    </row>
    <row r="126" spans="1:11" ht="14.5" x14ac:dyDescent="0.35">
      <c r="A126" s="16"/>
    </row>
    <row r="127" spans="1:11" ht="14.5" x14ac:dyDescent="0.35">
      <c r="A127" s="16"/>
    </row>
    <row r="128" spans="1:11" ht="14.5" x14ac:dyDescent="0.35">
      <c r="A128" s="16"/>
    </row>
    <row r="129" spans="1:11" ht="14.5" x14ac:dyDescent="0.35">
      <c r="A129" s="16"/>
    </row>
    <row r="130" spans="1:11" ht="14" x14ac:dyDescent="0.3">
      <c r="A130" s="65" t="s">
        <v>0</v>
      </c>
      <c r="B130" s="65"/>
      <c r="C130" s="65"/>
      <c r="D130" s="65"/>
      <c r="E130" s="65"/>
      <c r="F130" s="2"/>
      <c r="G130" s="2"/>
      <c r="H130" s="2"/>
      <c r="I130" s="2"/>
      <c r="J130" s="2"/>
      <c r="K130" s="2"/>
    </row>
    <row r="131" spans="1:11" ht="14" x14ac:dyDescent="0.3">
      <c r="A131" s="65" t="s">
        <v>1</v>
      </c>
      <c r="B131" s="65"/>
      <c r="C131" s="65"/>
      <c r="D131" s="2"/>
      <c r="E131" s="2"/>
      <c r="F131" s="2"/>
      <c r="G131" s="65" t="s">
        <v>49</v>
      </c>
      <c r="H131" s="65"/>
      <c r="I131" s="65"/>
      <c r="J131" s="1"/>
      <c r="K131" s="2"/>
    </row>
    <row r="132" spans="1:11" ht="14" x14ac:dyDescent="0.3">
      <c r="A132" s="65" t="s">
        <v>3</v>
      </c>
      <c r="B132" s="65"/>
      <c r="C132" s="65"/>
      <c r="D132" s="65"/>
      <c r="E132" s="65"/>
      <c r="F132" s="2"/>
      <c r="G132" s="65" t="s">
        <v>4</v>
      </c>
      <c r="H132" s="65"/>
      <c r="I132" s="65"/>
      <c r="J132" s="65"/>
      <c r="K132" s="2"/>
    </row>
    <row r="133" spans="1:11" ht="14" x14ac:dyDescent="0.3">
      <c r="A133" s="65" t="s">
        <v>5</v>
      </c>
      <c r="B133" s="65"/>
      <c r="C133" s="65"/>
      <c r="D133" s="65"/>
      <c r="E133" s="65"/>
      <c r="F133" s="2"/>
      <c r="G133" s="65" t="s">
        <v>6</v>
      </c>
      <c r="H133" s="65"/>
      <c r="I133" s="65"/>
      <c r="J133" s="65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90" t="s">
        <v>7</v>
      </c>
      <c r="B135" s="91"/>
      <c r="C135" s="91"/>
      <c r="D135" s="91"/>
      <c r="E135" s="91"/>
      <c r="F135" s="91"/>
      <c r="G135" s="91"/>
      <c r="H135" s="91"/>
      <c r="I135" s="91"/>
      <c r="J135" s="91"/>
      <c r="K135" s="92"/>
    </row>
    <row r="136" spans="1:11" ht="14" x14ac:dyDescent="0.3">
      <c r="A136" s="93" t="s">
        <v>8</v>
      </c>
      <c r="B136" s="94"/>
      <c r="C136" s="94"/>
      <c r="D136" s="94"/>
      <c r="E136" s="94"/>
      <c r="F136" s="94"/>
      <c r="G136" s="94"/>
      <c r="H136" s="94"/>
      <c r="I136" s="94"/>
      <c r="J136" s="94"/>
      <c r="K136" s="95"/>
    </row>
    <row r="137" spans="1:11" ht="14" x14ac:dyDescent="0.3">
      <c r="A137" s="20" t="s">
        <v>9</v>
      </c>
      <c r="B137" s="21"/>
      <c r="C137" s="21"/>
      <c r="D137" s="21"/>
      <c r="E137" s="96" t="s">
        <v>10</v>
      </c>
      <c r="F137" s="96"/>
      <c r="G137" s="21"/>
      <c r="H137" s="21"/>
      <c r="I137" s="21"/>
      <c r="J137" s="21"/>
      <c r="K137" s="22"/>
    </row>
    <row r="138" spans="1:11" ht="14" x14ac:dyDescent="0.3">
      <c r="A138" s="23" t="s">
        <v>11</v>
      </c>
      <c r="B138" s="24" t="s">
        <v>12</v>
      </c>
      <c r="C138" s="24" t="s">
        <v>13</v>
      </c>
      <c r="D138" s="24" t="s">
        <v>14</v>
      </c>
      <c r="E138" s="24" t="s">
        <v>15</v>
      </c>
      <c r="F138" s="24" t="s">
        <v>16</v>
      </c>
      <c r="G138" s="24" t="s">
        <v>17</v>
      </c>
      <c r="H138" s="24" t="s">
        <v>18</v>
      </c>
      <c r="I138" s="24" t="s">
        <v>19</v>
      </c>
      <c r="J138" s="24" t="s">
        <v>20</v>
      </c>
      <c r="K138" s="24" t="s">
        <v>21</v>
      </c>
    </row>
    <row r="139" spans="1:11" ht="12.5" x14ac:dyDescent="0.25">
      <c r="A139" s="9" t="s">
        <v>22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1">
        <v>-301</v>
      </c>
    </row>
    <row r="140" spans="1:11" ht="12.5" x14ac:dyDescent="0.25">
      <c r="A140" s="12" t="s">
        <v>23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4"/>
    </row>
    <row r="141" spans="1:11" ht="12.5" x14ac:dyDescent="0.25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4"/>
    </row>
    <row r="142" spans="1:11" ht="12.5" x14ac:dyDescent="0.25">
      <c r="A142" s="12" t="s">
        <v>24</v>
      </c>
      <c r="B142" s="13">
        <v>14</v>
      </c>
      <c r="C142" s="13">
        <v>21</v>
      </c>
      <c r="D142" s="13">
        <v>1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4">
        <v>36</v>
      </c>
    </row>
    <row r="143" spans="1:11" ht="12.5" x14ac:dyDescent="0.25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4"/>
    </row>
    <row r="144" spans="1:11" ht="12.5" x14ac:dyDescent="0.25">
      <c r="A144" s="12" t="s">
        <v>25</v>
      </c>
      <c r="B144" s="13">
        <v>45</v>
      </c>
      <c r="C144" s="13">
        <v>30</v>
      </c>
      <c r="D144" s="13">
        <v>2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77</v>
      </c>
    </row>
    <row r="145" spans="1:11" ht="12.5" x14ac:dyDescent="0.25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4"/>
    </row>
    <row r="146" spans="1:11" ht="12.5" x14ac:dyDescent="0.25">
      <c r="A146" s="12" t="s">
        <v>26</v>
      </c>
      <c r="B146" s="13">
        <v>28</v>
      </c>
      <c r="C146" s="13">
        <v>26</v>
      </c>
      <c r="D146" s="13">
        <v>1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55</v>
      </c>
    </row>
    <row r="147" spans="1:11" ht="12.5" x14ac:dyDescent="0.25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4"/>
    </row>
    <row r="148" spans="1:11" ht="12.5" x14ac:dyDescent="0.25">
      <c r="A148" s="12" t="s">
        <v>27</v>
      </c>
      <c r="B148" s="13">
        <v>22</v>
      </c>
      <c r="C148" s="13">
        <v>4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26</v>
      </c>
    </row>
    <row r="149" spans="1:11" ht="12.5" x14ac:dyDescent="0.25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4"/>
    </row>
    <row r="150" spans="1:11" ht="12.5" x14ac:dyDescent="0.25">
      <c r="A150" s="12" t="s">
        <v>28</v>
      </c>
      <c r="B150" s="13">
        <v>19</v>
      </c>
      <c r="C150" s="13">
        <v>8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27</v>
      </c>
    </row>
    <row r="151" spans="1:11" ht="12.5" x14ac:dyDescent="0.25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4"/>
    </row>
    <row r="152" spans="1:11" ht="12.5" x14ac:dyDescent="0.25">
      <c r="A152" s="12" t="s">
        <v>29</v>
      </c>
      <c r="B152" s="13">
        <v>18</v>
      </c>
      <c r="C152" s="13">
        <v>8</v>
      </c>
      <c r="D152" s="13">
        <v>1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27</v>
      </c>
    </row>
    <row r="153" spans="1:11" ht="12.5" x14ac:dyDescent="0.25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4"/>
    </row>
    <row r="154" spans="1:11" ht="12.5" x14ac:dyDescent="0.25">
      <c r="A154" s="12" t="s">
        <v>30</v>
      </c>
      <c r="B154" s="13">
        <v>16</v>
      </c>
      <c r="C154" s="13">
        <v>10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26</v>
      </c>
    </row>
    <row r="155" spans="1:11" ht="12.5" x14ac:dyDescent="0.25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4"/>
    </row>
    <row r="156" spans="1:11" ht="12.5" x14ac:dyDescent="0.25">
      <c r="A156" s="12" t="s">
        <v>31</v>
      </c>
      <c r="B156" s="13">
        <v>26</v>
      </c>
      <c r="C156" s="13">
        <v>7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33</v>
      </c>
    </row>
    <row r="157" spans="1:11" ht="12.5" x14ac:dyDescent="0.25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4"/>
    </row>
    <row r="158" spans="1:11" ht="12.5" x14ac:dyDescent="0.25">
      <c r="A158" s="12" t="s">
        <v>32</v>
      </c>
      <c r="B158" s="13">
        <v>19</v>
      </c>
      <c r="C158" s="13">
        <v>2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4">
        <v>21</v>
      </c>
    </row>
    <row r="159" spans="1:11" ht="12.5" x14ac:dyDescent="0.25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4"/>
    </row>
    <row r="160" spans="1:11" ht="12.5" x14ac:dyDescent="0.25">
      <c r="A160" s="12" t="s">
        <v>33</v>
      </c>
      <c r="B160" s="13">
        <v>16</v>
      </c>
      <c r="C160" s="13">
        <v>2</v>
      </c>
      <c r="D160" s="13">
        <v>1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19</v>
      </c>
    </row>
    <row r="161" spans="1:11" ht="12.5" x14ac:dyDescent="0.25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4"/>
    </row>
    <row r="162" spans="1:11" ht="12.5" x14ac:dyDescent="0.25">
      <c r="A162" s="12" t="s">
        <v>34</v>
      </c>
      <c r="B162" s="13">
        <v>12</v>
      </c>
      <c r="C162" s="13">
        <v>3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15</v>
      </c>
    </row>
    <row r="163" spans="1:11" ht="12.5" x14ac:dyDescent="0.25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4"/>
    </row>
    <row r="164" spans="1:11" ht="12.5" x14ac:dyDescent="0.25">
      <c r="A164" s="12" t="s">
        <v>35</v>
      </c>
      <c r="B164" s="13">
        <v>22</v>
      </c>
      <c r="C164" s="13">
        <v>16</v>
      </c>
      <c r="D164" s="13">
        <v>1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39</v>
      </c>
    </row>
    <row r="165" spans="1:11" ht="12.5" x14ac:dyDescent="0.25">
      <c r="A165" s="15"/>
      <c r="B165" s="14"/>
      <c r="C165" s="14"/>
      <c r="D165" s="14"/>
      <c r="E165" s="14"/>
      <c r="F165" s="14"/>
      <c r="G165" s="14"/>
      <c r="H165" s="14"/>
      <c r="I165" s="14"/>
      <c r="J165" s="14"/>
      <c r="K165" s="14"/>
    </row>
    <row r="166" spans="1:11" ht="12.5" x14ac:dyDescent="0.25">
      <c r="A166" s="84" t="s">
        <v>21</v>
      </c>
      <c r="B166" s="84">
        <v>257</v>
      </c>
      <c r="C166" s="84">
        <v>137</v>
      </c>
      <c r="D166" s="84">
        <v>7</v>
      </c>
      <c r="E166" s="84">
        <v>0</v>
      </c>
      <c r="F166" s="84">
        <v>0</v>
      </c>
      <c r="G166" s="84">
        <v>0</v>
      </c>
      <c r="H166" s="84">
        <v>0</v>
      </c>
      <c r="I166" s="84">
        <v>0</v>
      </c>
      <c r="J166" s="84">
        <v>0</v>
      </c>
      <c r="K166" s="84">
        <v>100</v>
      </c>
    </row>
    <row r="167" spans="1:11" ht="12.5" x14ac:dyDescent="0.25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</row>
    <row r="168" spans="1:11" ht="14" x14ac:dyDescent="0.3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</row>
    <row r="169" spans="1:11" ht="14" x14ac:dyDescent="0.3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65" t="s">
        <v>0</v>
      </c>
      <c r="B173" s="65"/>
      <c r="C173" s="65"/>
      <c r="D173" s="65"/>
      <c r="E173" s="65"/>
      <c r="F173" s="2"/>
      <c r="G173" s="2"/>
      <c r="H173" s="2"/>
      <c r="I173" s="2"/>
      <c r="J173" s="2"/>
      <c r="K173" s="2"/>
    </row>
    <row r="174" spans="1:11" ht="14" x14ac:dyDescent="0.3">
      <c r="A174" s="65" t="s">
        <v>1</v>
      </c>
      <c r="B174" s="65"/>
      <c r="C174" s="65"/>
      <c r="D174" s="2"/>
      <c r="E174" s="2"/>
      <c r="F174" s="2"/>
      <c r="G174" s="65" t="s">
        <v>112</v>
      </c>
      <c r="H174" s="65"/>
      <c r="I174" s="65"/>
      <c r="J174" s="1"/>
      <c r="K174" s="2"/>
    </row>
    <row r="175" spans="1:11" ht="14" x14ac:dyDescent="0.3">
      <c r="A175" s="65" t="s">
        <v>39</v>
      </c>
      <c r="B175" s="65"/>
      <c r="C175" s="65"/>
      <c r="D175" s="65"/>
      <c r="E175" s="65"/>
      <c r="F175" s="2"/>
      <c r="G175" s="65" t="s">
        <v>4</v>
      </c>
      <c r="H175" s="65"/>
      <c r="I175" s="65"/>
      <c r="J175" s="65"/>
      <c r="K175" s="2"/>
    </row>
    <row r="176" spans="1:11" ht="14" x14ac:dyDescent="0.3">
      <c r="A176" s="65" t="s">
        <v>5</v>
      </c>
      <c r="B176" s="65"/>
      <c r="C176" s="65"/>
      <c r="D176" s="65"/>
      <c r="E176" s="65"/>
      <c r="F176" s="2"/>
      <c r="G176" s="65" t="s">
        <v>6</v>
      </c>
      <c r="H176" s="65"/>
      <c r="I176" s="65"/>
      <c r="J176" s="65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60" t="s">
        <v>7</v>
      </c>
      <c r="B178" s="86"/>
      <c r="C178" s="86"/>
      <c r="D178" s="86"/>
      <c r="E178" s="86"/>
      <c r="F178" s="86"/>
      <c r="G178" s="86"/>
      <c r="H178" s="86"/>
      <c r="I178" s="86"/>
      <c r="J178" s="86"/>
      <c r="K178" s="87"/>
    </row>
    <row r="179" spans="1:11" ht="14" x14ac:dyDescent="0.3">
      <c r="A179" s="67" t="s">
        <v>8</v>
      </c>
      <c r="B179" s="88"/>
      <c r="C179" s="88"/>
      <c r="D179" s="88"/>
      <c r="E179" s="88"/>
      <c r="F179" s="88"/>
      <c r="G179" s="88"/>
      <c r="H179" s="88"/>
      <c r="I179" s="88"/>
      <c r="J179" s="88"/>
      <c r="K179" s="89"/>
    </row>
    <row r="180" spans="1:11" ht="14" x14ac:dyDescent="0.3">
      <c r="A180" s="4" t="s">
        <v>9</v>
      </c>
      <c r="B180" s="5"/>
      <c r="C180" s="5"/>
      <c r="D180" s="5"/>
      <c r="E180" s="70" t="s">
        <v>10</v>
      </c>
      <c r="F180" s="70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2.5" x14ac:dyDescent="0.25">
      <c r="A182" s="9" t="s">
        <v>22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1">
        <v>278</v>
      </c>
    </row>
    <row r="183" spans="1:11" ht="12.5" x14ac:dyDescent="0.25">
      <c r="A183" s="12" t="s">
        <v>23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4"/>
    </row>
    <row r="184" spans="1:11" ht="12.5" x14ac:dyDescent="0.25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4"/>
    </row>
    <row r="185" spans="1:11" ht="12.5" x14ac:dyDescent="0.25">
      <c r="A185" s="12" t="s">
        <v>24</v>
      </c>
      <c r="B185" s="13">
        <v>23</v>
      </c>
      <c r="C185" s="13">
        <v>9</v>
      </c>
      <c r="D185" s="13">
        <v>1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4">
        <v>33</v>
      </c>
    </row>
    <row r="186" spans="1:11" ht="12.5" x14ac:dyDescent="0.25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4"/>
    </row>
    <row r="187" spans="1:11" ht="12.5" x14ac:dyDescent="0.25">
      <c r="A187" s="12" t="s">
        <v>25</v>
      </c>
      <c r="B187" s="13">
        <v>31</v>
      </c>
      <c r="C187" s="13">
        <v>22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4">
        <v>53</v>
      </c>
    </row>
    <row r="188" spans="1:11" ht="12.5" x14ac:dyDescent="0.25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4"/>
    </row>
    <row r="189" spans="1:11" ht="12.5" x14ac:dyDescent="0.25">
      <c r="A189" s="12" t="s">
        <v>26</v>
      </c>
      <c r="B189" s="13">
        <v>38</v>
      </c>
      <c r="C189" s="13">
        <v>17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4">
        <v>55</v>
      </c>
    </row>
    <row r="190" spans="1:11" ht="12.5" x14ac:dyDescent="0.25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4"/>
    </row>
    <row r="191" spans="1:11" ht="12.5" x14ac:dyDescent="0.25">
      <c r="A191" s="12" t="s">
        <v>27</v>
      </c>
      <c r="B191" s="13">
        <v>21</v>
      </c>
      <c r="C191" s="13">
        <v>3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4">
        <v>24</v>
      </c>
    </row>
    <row r="192" spans="1:11" ht="12.5" x14ac:dyDescent="0.25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4"/>
    </row>
    <row r="193" spans="1:11" ht="12.5" x14ac:dyDescent="0.25">
      <c r="A193" s="12" t="s">
        <v>28</v>
      </c>
      <c r="B193" s="13">
        <v>27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 s="14">
        <v>27</v>
      </c>
    </row>
    <row r="194" spans="1:11" ht="12.5" x14ac:dyDescent="0.25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4"/>
    </row>
    <row r="195" spans="1:11" ht="12.5" x14ac:dyDescent="0.25">
      <c r="A195" s="12" t="s">
        <v>29</v>
      </c>
      <c r="B195" s="13">
        <v>28</v>
      </c>
      <c r="C195" s="13">
        <v>1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4">
        <v>29</v>
      </c>
    </row>
    <row r="196" spans="1:11" ht="12.5" x14ac:dyDescent="0.25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4"/>
    </row>
    <row r="197" spans="1:11" ht="12.5" x14ac:dyDescent="0.25">
      <c r="A197" s="12" t="s">
        <v>30</v>
      </c>
      <c r="B197" s="13">
        <v>25</v>
      </c>
      <c r="C197" s="13">
        <v>4</v>
      </c>
      <c r="D197" s="13">
        <v>0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4">
        <v>29</v>
      </c>
    </row>
    <row r="198" spans="1:11" ht="12.5" x14ac:dyDescent="0.25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4"/>
    </row>
    <row r="199" spans="1:11" ht="12.5" x14ac:dyDescent="0.25">
      <c r="A199" s="12" t="s">
        <v>31</v>
      </c>
      <c r="B199" s="13">
        <v>39</v>
      </c>
      <c r="C199" s="13">
        <v>6</v>
      </c>
      <c r="D199" s="13">
        <v>1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4">
        <v>46</v>
      </c>
    </row>
    <row r="200" spans="1:11" ht="12.5" x14ac:dyDescent="0.25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4"/>
    </row>
    <row r="201" spans="1:11" ht="12.5" x14ac:dyDescent="0.25">
      <c r="A201" s="12" t="s">
        <v>32</v>
      </c>
      <c r="B201" s="13">
        <v>16</v>
      </c>
      <c r="C201" s="13">
        <v>3</v>
      </c>
      <c r="D201" s="13">
        <v>1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4">
        <v>20</v>
      </c>
    </row>
    <row r="202" spans="1:11" ht="12.5" x14ac:dyDescent="0.25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4"/>
    </row>
    <row r="203" spans="1:11" ht="15.75" customHeight="1" x14ac:dyDescent="0.25">
      <c r="A203" s="12" t="s">
        <v>33</v>
      </c>
      <c r="B203" s="13">
        <v>31</v>
      </c>
      <c r="C203" s="13">
        <v>2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4">
        <v>33</v>
      </c>
    </row>
    <row r="204" spans="1:11" ht="15.75" customHeight="1" x14ac:dyDescent="0.25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4"/>
    </row>
    <row r="205" spans="1:11" ht="15.75" customHeight="1" x14ac:dyDescent="0.25">
      <c r="A205" s="12" t="s">
        <v>34</v>
      </c>
      <c r="B205" s="13">
        <v>43</v>
      </c>
      <c r="C205" s="13">
        <v>12</v>
      </c>
      <c r="D205" s="13">
        <v>1</v>
      </c>
      <c r="E205" s="13">
        <v>0</v>
      </c>
      <c r="F205" s="13">
        <v>0</v>
      </c>
      <c r="G205" s="13">
        <v>0</v>
      </c>
      <c r="H205" s="13">
        <v>0</v>
      </c>
      <c r="I205" s="13">
        <v>0</v>
      </c>
      <c r="J205" s="13">
        <v>0</v>
      </c>
      <c r="K205" s="14">
        <v>56</v>
      </c>
    </row>
    <row r="206" spans="1:11" ht="15.75" customHeight="1" x14ac:dyDescent="0.25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4"/>
    </row>
    <row r="207" spans="1:11" ht="15.75" customHeight="1" x14ac:dyDescent="0.25">
      <c r="A207" s="12" t="s">
        <v>35</v>
      </c>
      <c r="B207" s="13">
        <v>41</v>
      </c>
      <c r="C207" s="13">
        <v>19</v>
      </c>
      <c r="D207" s="13">
        <v>1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4">
        <v>61</v>
      </c>
    </row>
    <row r="208" spans="1:11" ht="15.75" customHeight="1" x14ac:dyDescent="0.25">
      <c r="A208" s="15"/>
      <c r="B208" s="14"/>
      <c r="C208" s="14"/>
      <c r="D208" s="14"/>
      <c r="E208" s="14"/>
      <c r="F208" s="14"/>
      <c r="G208" s="14"/>
      <c r="H208" s="14"/>
      <c r="I208" s="14"/>
      <c r="J208" s="14"/>
      <c r="K208" s="14"/>
    </row>
    <row r="209" spans="1:11" ht="15.75" customHeight="1" x14ac:dyDescent="0.25">
      <c r="A209" s="84" t="s">
        <v>21</v>
      </c>
      <c r="B209" s="84">
        <v>363</v>
      </c>
      <c r="C209" s="84">
        <v>98</v>
      </c>
      <c r="D209" s="84">
        <v>5</v>
      </c>
      <c r="E209" s="84">
        <v>0</v>
      </c>
      <c r="F209" s="84">
        <v>0</v>
      </c>
      <c r="G209" s="84">
        <v>0</v>
      </c>
      <c r="H209" s="84">
        <v>0</v>
      </c>
      <c r="I209" s="84">
        <v>0</v>
      </c>
      <c r="J209" s="84">
        <v>0</v>
      </c>
      <c r="K209" s="84">
        <v>744</v>
      </c>
    </row>
    <row r="210" spans="1:11" ht="15.75" customHeight="1" x14ac:dyDescent="0.25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</row>
    <row r="211" spans="1:11" ht="15.75" customHeight="1" x14ac:dyDescent="0.3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</row>
    <row r="212" spans="1:11" ht="15.75" customHeight="1" x14ac:dyDescent="0.3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65" t="s">
        <v>0</v>
      </c>
      <c r="B216" s="65"/>
      <c r="C216" s="65"/>
      <c r="D216" s="65"/>
      <c r="E216" s="65"/>
      <c r="F216" s="2"/>
      <c r="G216" s="2"/>
      <c r="H216" s="2"/>
      <c r="I216" s="2"/>
      <c r="J216" s="2"/>
      <c r="K216" s="2"/>
    </row>
    <row r="217" spans="1:11" ht="15.75" customHeight="1" x14ac:dyDescent="0.3">
      <c r="A217" s="65" t="s">
        <v>1</v>
      </c>
      <c r="B217" s="65"/>
      <c r="C217" s="65"/>
      <c r="D217" s="2"/>
      <c r="E217" s="2"/>
      <c r="F217" s="2"/>
      <c r="G217" s="65" t="s">
        <v>113</v>
      </c>
      <c r="H217" s="65"/>
      <c r="I217" s="65"/>
      <c r="J217" s="1"/>
      <c r="K217" s="2"/>
    </row>
    <row r="218" spans="1:11" ht="15.75" customHeight="1" x14ac:dyDescent="0.3">
      <c r="A218" s="65" t="s">
        <v>39</v>
      </c>
      <c r="B218" s="65"/>
      <c r="C218" s="65"/>
      <c r="D218" s="65"/>
      <c r="E218" s="65"/>
      <c r="F218" s="2"/>
      <c r="G218" s="65" t="s">
        <v>4</v>
      </c>
      <c r="H218" s="65"/>
      <c r="I218" s="65"/>
      <c r="J218" s="65"/>
      <c r="K218" s="2"/>
    </row>
    <row r="219" spans="1:11" ht="15.75" customHeight="1" x14ac:dyDescent="0.3">
      <c r="A219" s="65" t="s">
        <v>5</v>
      </c>
      <c r="B219" s="65"/>
      <c r="C219" s="65"/>
      <c r="D219" s="65"/>
      <c r="E219" s="65"/>
      <c r="F219" s="2"/>
      <c r="G219" s="65" t="s">
        <v>6</v>
      </c>
      <c r="H219" s="65"/>
      <c r="I219" s="65"/>
      <c r="J219" s="65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60" t="s">
        <v>7</v>
      </c>
      <c r="B221" s="86"/>
      <c r="C221" s="86"/>
      <c r="D221" s="86"/>
      <c r="E221" s="86"/>
      <c r="F221" s="86"/>
      <c r="G221" s="86"/>
      <c r="H221" s="86"/>
      <c r="I221" s="86"/>
      <c r="J221" s="86"/>
      <c r="K221" s="87"/>
    </row>
    <row r="222" spans="1:11" ht="15.75" customHeight="1" x14ac:dyDescent="0.3">
      <c r="A222" s="67" t="s">
        <v>8</v>
      </c>
      <c r="B222" s="88"/>
      <c r="C222" s="88"/>
      <c r="D222" s="88"/>
      <c r="E222" s="88"/>
      <c r="F222" s="88"/>
      <c r="G222" s="88"/>
      <c r="H222" s="88"/>
      <c r="I222" s="88"/>
      <c r="J222" s="88"/>
      <c r="K222" s="89"/>
    </row>
    <row r="223" spans="1:11" ht="15.75" customHeight="1" x14ac:dyDescent="0.3">
      <c r="A223" s="4" t="s">
        <v>9</v>
      </c>
      <c r="B223" s="5"/>
      <c r="C223" s="5"/>
      <c r="D223" s="5"/>
      <c r="E223" s="70" t="s">
        <v>10</v>
      </c>
      <c r="F223" s="70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25">
      <c r="A225" s="9" t="s">
        <v>22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1">
        <f>(K10+K53+K96+K139+K182)/5</f>
        <v>-138.80000000000001</v>
      </c>
    </row>
    <row r="226" spans="1:11" ht="15.75" customHeight="1" x14ac:dyDescent="0.25">
      <c r="A226" s="12" t="s">
        <v>23</v>
      </c>
      <c r="B226" s="13"/>
      <c r="C226" s="13"/>
      <c r="D226" s="13"/>
      <c r="E226" s="13"/>
      <c r="F226" s="13"/>
      <c r="G226" s="13"/>
      <c r="H226" s="13"/>
      <c r="I226" s="13"/>
      <c r="J226" s="13"/>
      <c r="K226" s="11"/>
    </row>
    <row r="227" spans="1:11" ht="15.75" customHeight="1" x14ac:dyDescent="0.25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1"/>
    </row>
    <row r="228" spans="1:11" ht="15.75" customHeight="1" x14ac:dyDescent="0.25">
      <c r="A228" s="12" t="s">
        <v>24</v>
      </c>
      <c r="B228" s="13">
        <f>(B13+B56+B99+B142+B185)/5</f>
        <v>14.4</v>
      </c>
      <c r="C228" s="13">
        <f t="shared" ref="C228:J228" si="0">(C13+C56+C99+C142+C185)/5</f>
        <v>16.8</v>
      </c>
      <c r="D228" s="13">
        <f t="shared" si="0"/>
        <v>1.4</v>
      </c>
      <c r="E228" s="13">
        <f t="shared" si="0"/>
        <v>0</v>
      </c>
      <c r="F228" s="13">
        <f t="shared" si="0"/>
        <v>0</v>
      </c>
      <c r="G228" s="13">
        <f t="shared" si="0"/>
        <v>0.2</v>
      </c>
      <c r="H228" s="13">
        <f t="shared" si="0"/>
        <v>0</v>
      </c>
      <c r="I228" s="13">
        <f t="shared" si="0"/>
        <v>0</v>
      </c>
      <c r="J228" s="13">
        <f t="shared" si="0"/>
        <v>0</v>
      </c>
      <c r="K228" s="11">
        <f t="shared" ref="K228:K250" si="1">(K13+K56+K99+K142+K185)/5</f>
        <v>32.799999999999997</v>
      </c>
    </row>
    <row r="229" spans="1:11" ht="15.75" customHeight="1" x14ac:dyDescent="0.25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1"/>
    </row>
    <row r="230" spans="1:11" ht="15.75" customHeight="1" x14ac:dyDescent="0.25">
      <c r="A230" s="12" t="s">
        <v>25</v>
      </c>
      <c r="B230" s="13">
        <f t="shared" ref="B230:J250" si="2">(B15+B58+B101+B144+B187)/5</f>
        <v>26</v>
      </c>
      <c r="C230" s="13">
        <f t="shared" si="2"/>
        <v>23.6</v>
      </c>
      <c r="D230" s="13">
        <f t="shared" si="2"/>
        <v>1</v>
      </c>
      <c r="E230" s="13">
        <f t="shared" si="2"/>
        <v>0</v>
      </c>
      <c r="F230" s="13">
        <f t="shared" si="2"/>
        <v>0</v>
      </c>
      <c r="G230" s="13">
        <f t="shared" si="2"/>
        <v>0</v>
      </c>
      <c r="H230" s="13">
        <f t="shared" si="2"/>
        <v>0</v>
      </c>
      <c r="I230" s="13">
        <f t="shared" si="2"/>
        <v>0</v>
      </c>
      <c r="J230" s="13">
        <f t="shared" si="2"/>
        <v>0</v>
      </c>
      <c r="K230" s="11">
        <f t="shared" si="1"/>
        <v>50.6</v>
      </c>
    </row>
    <row r="231" spans="1:11" ht="15.75" customHeight="1" x14ac:dyDescent="0.25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1"/>
    </row>
    <row r="232" spans="1:11" ht="15.75" customHeight="1" x14ac:dyDescent="0.25">
      <c r="A232" s="12" t="s">
        <v>26</v>
      </c>
      <c r="B232" s="13">
        <f t="shared" si="2"/>
        <v>28.4</v>
      </c>
      <c r="C232" s="13">
        <f t="shared" si="2"/>
        <v>21</v>
      </c>
      <c r="D232" s="13">
        <f t="shared" si="2"/>
        <v>1.2</v>
      </c>
      <c r="E232" s="13">
        <f t="shared" si="2"/>
        <v>0</v>
      </c>
      <c r="F232" s="13">
        <f t="shared" si="2"/>
        <v>0</v>
      </c>
      <c r="G232" s="13">
        <f t="shared" si="2"/>
        <v>0</v>
      </c>
      <c r="H232" s="13">
        <f t="shared" si="2"/>
        <v>0</v>
      </c>
      <c r="I232" s="13">
        <f t="shared" si="2"/>
        <v>0</v>
      </c>
      <c r="J232" s="13">
        <f t="shared" si="2"/>
        <v>0</v>
      </c>
      <c r="K232" s="11">
        <f t="shared" si="1"/>
        <v>50.6</v>
      </c>
    </row>
    <row r="233" spans="1:11" ht="15.75" customHeight="1" x14ac:dyDescent="0.25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1"/>
    </row>
    <row r="234" spans="1:11" ht="15.75" customHeight="1" x14ac:dyDescent="0.25">
      <c r="A234" s="12" t="s">
        <v>27</v>
      </c>
      <c r="B234" s="13">
        <f t="shared" si="2"/>
        <v>17</v>
      </c>
      <c r="C234" s="13">
        <f t="shared" si="2"/>
        <v>7.4</v>
      </c>
      <c r="D234" s="13">
        <f t="shared" si="2"/>
        <v>0.2</v>
      </c>
      <c r="E234" s="13">
        <f t="shared" si="2"/>
        <v>0</v>
      </c>
      <c r="F234" s="13">
        <f t="shared" si="2"/>
        <v>0</v>
      </c>
      <c r="G234" s="13">
        <f t="shared" si="2"/>
        <v>0</v>
      </c>
      <c r="H234" s="13">
        <f t="shared" si="2"/>
        <v>0</v>
      </c>
      <c r="I234" s="13">
        <f t="shared" si="2"/>
        <v>0</v>
      </c>
      <c r="J234" s="13">
        <f t="shared" si="2"/>
        <v>0</v>
      </c>
      <c r="K234" s="11">
        <f t="shared" si="1"/>
        <v>24.6</v>
      </c>
    </row>
    <row r="235" spans="1:11" ht="15.75" customHeight="1" x14ac:dyDescent="0.25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1"/>
    </row>
    <row r="236" spans="1:11" ht="15.75" customHeight="1" x14ac:dyDescent="0.25">
      <c r="A236" s="12" t="s">
        <v>28</v>
      </c>
      <c r="B236" s="13">
        <f t="shared" si="2"/>
        <v>14</v>
      </c>
      <c r="C236" s="13">
        <f t="shared" si="2"/>
        <v>4</v>
      </c>
      <c r="D236" s="13">
        <f t="shared" si="2"/>
        <v>0.2</v>
      </c>
      <c r="E236" s="13">
        <f t="shared" si="2"/>
        <v>0</v>
      </c>
      <c r="F236" s="13">
        <f t="shared" si="2"/>
        <v>0</v>
      </c>
      <c r="G236" s="13">
        <f t="shared" si="2"/>
        <v>0</v>
      </c>
      <c r="H236" s="13">
        <f t="shared" si="2"/>
        <v>0</v>
      </c>
      <c r="I236" s="13">
        <f t="shared" si="2"/>
        <v>0</v>
      </c>
      <c r="J236" s="13">
        <f t="shared" si="2"/>
        <v>0</v>
      </c>
      <c r="K236" s="11">
        <f t="shared" si="1"/>
        <v>18.2</v>
      </c>
    </row>
    <row r="237" spans="1:11" ht="15.75" customHeight="1" x14ac:dyDescent="0.25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1"/>
    </row>
    <row r="238" spans="1:11" ht="15.75" customHeight="1" x14ac:dyDescent="0.25">
      <c r="A238" s="12" t="s">
        <v>29</v>
      </c>
      <c r="B238" s="13">
        <f t="shared" si="2"/>
        <v>17.2</v>
      </c>
      <c r="C238" s="13">
        <f t="shared" si="2"/>
        <v>6.2</v>
      </c>
      <c r="D238" s="13">
        <f t="shared" si="2"/>
        <v>0.2</v>
      </c>
      <c r="E238" s="13">
        <f t="shared" si="2"/>
        <v>0</v>
      </c>
      <c r="F238" s="13">
        <f t="shared" si="2"/>
        <v>0</v>
      </c>
      <c r="G238" s="13">
        <f t="shared" si="2"/>
        <v>0</v>
      </c>
      <c r="H238" s="13">
        <f t="shared" si="2"/>
        <v>0</v>
      </c>
      <c r="I238" s="13">
        <f t="shared" si="2"/>
        <v>0</v>
      </c>
      <c r="J238" s="13">
        <f t="shared" si="2"/>
        <v>0</v>
      </c>
      <c r="K238" s="11">
        <f t="shared" si="1"/>
        <v>23.6</v>
      </c>
    </row>
    <row r="239" spans="1:11" ht="15.75" customHeight="1" x14ac:dyDescent="0.25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1"/>
    </row>
    <row r="240" spans="1:11" ht="15.75" customHeight="1" x14ac:dyDescent="0.25">
      <c r="A240" s="12" t="s">
        <v>30</v>
      </c>
      <c r="B240" s="13">
        <f t="shared" si="2"/>
        <v>14.8</v>
      </c>
      <c r="C240" s="13">
        <f t="shared" si="2"/>
        <v>9.1999999999999993</v>
      </c>
      <c r="D240" s="13">
        <f t="shared" si="2"/>
        <v>0.2</v>
      </c>
      <c r="E240" s="13">
        <f t="shared" si="2"/>
        <v>0.2</v>
      </c>
      <c r="F240" s="13">
        <f t="shared" si="2"/>
        <v>0</v>
      </c>
      <c r="G240" s="13">
        <f t="shared" si="2"/>
        <v>0</v>
      </c>
      <c r="H240" s="13">
        <f t="shared" si="2"/>
        <v>0</v>
      </c>
      <c r="I240" s="13">
        <f t="shared" si="2"/>
        <v>0</v>
      </c>
      <c r="J240" s="13">
        <f t="shared" si="2"/>
        <v>0</v>
      </c>
      <c r="K240" s="11">
        <f t="shared" si="1"/>
        <v>24.4</v>
      </c>
    </row>
    <row r="241" spans="1:11" ht="15.75" customHeight="1" x14ac:dyDescent="0.25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1"/>
    </row>
    <row r="242" spans="1:11" ht="15.75" customHeight="1" x14ac:dyDescent="0.25">
      <c r="A242" s="12" t="s">
        <v>31</v>
      </c>
      <c r="B242" s="13">
        <f t="shared" si="2"/>
        <v>21</v>
      </c>
      <c r="C242" s="13">
        <f t="shared" si="2"/>
        <v>8.6</v>
      </c>
      <c r="D242" s="13">
        <f t="shared" si="2"/>
        <v>0.8</v>
      </c>
      <c r="E242" s="13">
        <f t="shared" si="2"/>
        <v>0</v>
      </c>
      <c r="F242" s="13">
        <f t="shared" si="2"/>
        <v>0</v>
      </c>
      <c r="G242" s="13">
        <f t="shared" si="2"/>
        <v>0</v>
      </c>
      <c r="H242" s="13">
        <f t="shared" si="2"/>
        <v>0</v>
      </c>
      <c r="I242" s="13">
        <f t="shared" si="2"/>
        <v>0</v>
      </c>
      <c r="J242" s="13">
        <f t="shared" si="2"/>
        <v>0</v>
      </c>
      <c r="K242" s="11">
        <f t="shared" si="1"/>
        <v>30.4</v>
      </c>
    </row>
    <row r="243" spans="1:11" ht="15.75" customHeight="1" x14ac:dyDescent="0.25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1"/>
    </row>
    <row r="244" spans="1:11" ht="15.75" customHeight="1" x14ac:dyDescent="0.25">
      <c r="A244" s="12" t="s">
        <v>32</v>
      </c>
      <c r="B244" s="13">
        <f t="shared" si="2"/>
        <v>11.2</v>
      </c>
      <c r="C244" s="13">
        <f t="shared" si="2"/>
        <v>3.2</v>
      </c>
      <c r="D244" s="13">
        <f t="shared" si="2"/>
        <v>0.6</v>
      </c>
      <c r="E244" s="13">
        <f t="shared" si="2"/>
        <v>0</v>
      </c>
      <c r="F244" s="13">
        <f t="shared" si="2"/>
        <v>0</v>
      </c>
      <c r="G244" s="13">
        <f t="shared" si="2"/>
        <v>0</v>
      </c>
      <c r="H244" s="13">
        <f t="shared" si="2"/>
        <v>0</v>
      </c>
      <c r="I244" s="13">
        <f t="shared" si="2"/>
        <v>0</v>
      </c>
      <c r="J244" s="13">
        <f t="shared" si="2"/>
        <v>0</v>
      </c>
      <c r="K244" s="11">
        <f t="shared" si="1"/>
        <v>15</v>
      </c>
    </row>
    <row r="245" spans="1:11" ht="15.75" customHeight="1" x14ac:dyDescent="0.25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1"/>
    </row>
    <row r="246" spans="1:11" ht="15.75" customHeight="1" x14ac:dyDescent="0.25">
      <c r="A246" s="12" t="s">
        <v>33</v>
      </c>
      <c r="B246" s="13">
        <f t="shared" si="2"/>
        <v>14.2</v>
      </c>
      <c r="C246" s="13">
        <f t="shared" si="2"/>
        <v>2.8</v>
      </c>
      <c r="D246" s="13">
        <f t="shared" si="2"/>
        <v>0.4</v>
      </c>
      <c r="E246" s="13">
        <f t="shared" si="2"/>
        <v>0</v>
      </c>
      <c r="F246" s="13">
        <f t="shared" si="2"/>
        <v>0</v>
      </c>
      <c r="G246" s="13">
        <f t="shared" si="2"/>
        <v>0</v>
      </c>
      <c r="H246" s="13">
        <f t="shared" si="2"/>
        <v>0</v>
      </c>
      <c r="I246" s="13">
        <f t="shared" si="2"/>
        <v>0</v>
      </c>
      <c r="J246" s="13">
        <f t="shared" si="2"/>
        <v>0</v>
      </c>
      <c r="K246" s="11">
        <f t="shared" si="1"/>
        <v>17.399999999999999</v>
      </c>
    </row>
    <row r="247" spans="1:11" ht="15.75" customHeight="1" x14ac:dyDescent="0.25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1"/>
    </row>
    <row r="248" spans="1:11" ht="15.75" customHeight="1" x14ac:dyDescent="0.25">
      <c r="A248" s="12" t="s">
        <v>34</v>
      </c>
      <c r="B248" s="13">
        <f t="shared" si="2"/>
        <v>18.2</v>
      </c>
      <c r="C248" s="13">
        <f t="shared" si="2"/>
        <v>10.4</v>
      </c>
      <c r="D248" s="13">
        <f t="shared" si="2"/>
        <v>1.2</v>
      </c>
      <c r="E248" s="13">
        <f t="shared" si="2"/>
        <v>0.2</v>
      </c>
      <c r="F248" s="13">
        <f t="shared" si="2"/>
        <v>0.2</v>
      </c>
      <c r="G248" s="13">
        <f t="shared" si="2"/>
        <v>0</v>
      </c>
      <c r="H248" s="13">
        <f t="shared" si="2"/>
        <v>0</v>
      </c>
      <c r="I248" s="13">
        <f t="shared" si="2"/>
        <v>0</v>
      </c>
      <c r="J248" s="13">
        <f t="shared" si="2"/>
        <v>0</v>
      </c>
      <c r="K248" s="11">
        <f t="shared" si="1"/>
        <v>30.2</v>
      </c>
    </row>
    <row r="249" spans="1:11" ht="15.75" customHeight="1" x14ac:dyDescent="0.25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1"/>
    </row>
    <row r="250" spans="1:11" ht="15.75" customHeight="1" x14ac:dyDescent="0.25">
      <c r="A250" s="12" t="s">
        <v>35</v>
      </c>
      <c r="B250" s="13">
        <f t="shared" si="2"/>
        <v>25.4</v>
      </c>
      <c r="C250" s="13">
        <f t="shared" si="2"/>
        <v>22.4</v>
      </c>
      <c r="D250" s="13">
        <f t="shared" si="2"/>
        <v>1.8</v>
      </c>
      <c r="E250" s="13">
        <f t="shared" si="2"/>
        <v>0.2</v>
      </c>
      <c r="F250" s="13">
        <f t="shared" si="2"/>
        <v>0</v>
      </c>
      <c r="G250" s="13">
        <f t="shared" si="2"/>
        <v>0</v>
      </c>
      <c r="H250" s="13">
        <f t="shared" si="2"/>
        <v>0</v>
      </c>
      <c r="I250" s="13">
        <f t="shared" si="2"/>
        <v>0</v>
      </c>
      <c r="J250" s="13">
        <f t="shared" si="2"/>
        <v>0</v>
      </c>
      <c r="K250" s="11">
        <f t="shared" si="1"/>
        <v>49.8</v>
      </c>
    </row>
    <row r="251" spans="1:11" ht="15.75" customHeight="1" x14ac:dyDescent="0.25">
      <c r="A251" s="15"/>
      <c r="B251" s="14"/>
      <c r="C251" s="14"/>
      <c r="D251" s="14"/>
      <c r="E251" s="14"/>
      <c r="F251" s="14"/>
      <c r="G251" s="14"/>
      <c r="H251" s="14"/>
      <c r="I251" s="14"/>
      <c r="J251" s="14"/>
      <c r="K251" s="14"/>
    </row>
    <row r="252" spans="1:11" ht="15.75" customHeight="1" x14ac:dyDescent="0.25">
      <c r="A252" s="84" t="s">
        <v>21</v>
      </c>
      <c r="B252" s="84">
        <f>SUM(B228:B250)</f>
        <v>221.79999999999998</v>
      </c>
      <c r="C252" s="84">
        <f t="shared" ref="C252:J252" si="3">SUM(C228:C250)</f>
        <v>135.60000000000002</v>
      </c>
      <c r="D252" s="84">
        <f t="shared" si="3"/>
        <v>9.2000000000000011</v>
      </c>
      <c r="E252" s="84">
        <f t="shared" si="3"/>
        <v>0.60000000000000009</v>
      </c>
      <c r="F252" s="84">
        <f t="shared" si="3"/>
        <v>0.2</v>
      </c>
      <c r="G252" s="84">
        <f t="shared" si="3"/>
        <v>0.2</v>
      </c>
      <c r="H252" s="84">
        <f t="shared" si="3"/>
        <v>0</v>
      </c>
      <c r="I252" s="84">
        <f t="shared" si="3"/>
        <v>0</v>
      </c>
      <c r="J252" s="84">
        <f t="shared" si="3"/>
        <v>0</v>
      </c>
      <c r="K252" s="84">
        <f>SUM(K225:K251)</f>
        <v>228.79999999999995</v>
      </c>
    </row>
    <row r="253" spans="1:11" ht="15.75" customHeight="1" x14ac:dyDescent="0.25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</row>
  </sheetData>
  <mergeCells count="126">
    <mergeCell ref="A221:K221"/>
    <mergeCell ref="A222:K222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I209:I210"/>
    <mergeCell ref="J209:J210"/>
    <mergeCell ref="K209:K210"/>
    <mergeCell ref="A216:E216"/>
    <mergeCell ref="A217:C217"/>
    <mergeCell ref="G217:I217"/>
    <mergeCell ref="A218:E218"/>
    <mergeCell ref="G218:J218"/>
    <mergeCell ref="A219:E219"/>
    <mergeCell ref="G219:J219"/>
    <mergeCell ref="E180:F180"/>
    <mergeCell ref="A209:A210"/>
    <mergeCell ref="B209:B210"/>
    <mergeCell ref="C209:C210"/>
    <mergeCell ref="D209:D210"/>
    <mergeCell ref="E209:E210"/>
    <mergeCell ref="F209:F210"/>
    <mergeCell ref="G209:G210"/>
    <mergeCell ref="H209:H210"/>
    <mergeCell ref="A173:E173"/>
    <mergeCell ref="A174:C174"/>
    <mergeCell ref="G174:I174"/>
    <mergeCell ref="A175:E175"/>
    <mergeCell ref="G175:J175"/>
    <mergeCell ref="A176:E176"/>
    <mergeCell ref="G176:J176"/>
    <mergeCell ref="A178:K178"/>
    <mergeCell ref="A179:K179"/>
    <mergeCell ref="A136:K136"/>
    <mergeCell ref="E137:F137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J167"/>
    <mergeCell ref="K166:K167"/>
    <mergeCell ref="K123:K124"/>
    <mergeCell ref="A130:E130"/>
    <mergeCell ref="A131:C131"/>
    <mergeCell ref="G131:I131"/>
    <mergeCell ref="A132:E132"/>
    <mergeCell ref="G132:J132"/>
    <mergeCell ref="A133:E133"/>
    <mergeCell ref="G133:J133"/>
    <mergeCell ref="A135:K135"/>
    <mergeCell ref="B123:B124"/>
    <mergeCell ref="C123:C124"/>
    <mergeCell ref="D123:D124"/>
    <mergeCell ref="E123:E124"/>
    <mergeCell ref="F123:F124"/>
    <mergeCell ref="G123:G124"/>
    <mergeCell ref="H123:H124"/>
    <mergeCell ref="I123:I124"/>
    <mergeCell ref="J123:J124"/>
    <mergeCell ref="A87:E87"/>
    <mergeCell ref="A88:C88"/>
    <mergeCell ref="G88:I88"/>
    <mergeCell ref="A89:E89"/>
    <mergeCell ref="G89:J89"/>
    <mergeCell ref="A90:E90"/>
    <mergeCell ref="G90:J90"/>
    <mergeCell ref="A92:K92"/>
    <mergeCell ref="A93:K93"/>
    <mergeCell ref="E94:F94"/>
    <mergeCell ref="A123:A124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G45:I45"/>
    <mergeCell ref="G46:J46"/>
    <mergeCell ref="G47:J47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4:E44"/>
    <mergeCell ref="A45:C45"/>
    <mergeCell ref="A46:E46"/>
    <mergeCell ref="A47:E47"/>
    <mergeCell ref="A49:K49"/>
    <mergeCell ref="H80:H81"/>
    <mergeCell ref="I80:I81"/>
    <mergeCell ref="F80:F81"/>
    <mergeCell ref="G80:G81"/>
    <mergeCell ref="J80:J81"/>
    <mergeCell ref="K80:K81"/>
    <mergeCell ref="A50:K50"/>
    <mergeCell ref="E51:F51"/>
    <mergeCell ref="A80:A81"/>
    <mergeCell ref="B80:B81"/>
    <mergeCell ref="C80:C81"/>
    <mergeCell ref="D80:D81"/>
    <mergeCell ref="E80:E8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253"/>
  <sheetViews>
    <sheetView topLeftCell="A248" workbookViewId="0">
      <selection activeCell="B96" sqref="B96:J96"/>
    </sheetView>
  </sheetViews>
  <sheetFormatPr defaultColWidth="12.6328125" defaultRowHeight="15.75" customHeight="1" x14ac:dyDescent="0.25"/>
  <sheetData>
    <row r="1" spans="1:11" ht="14" x14ac:dyDescent="0.3">
      <c r="A1" s="65" t="s">
        <v>0</v>
      </c>
      <c r="B1" s="66"/>
      <c r="C1" s="66"/>
      <c r="D1" s="66"/>
      <c r="E1" s="66"/>
      <c r="F1" s="2"/>
      <c r="G1" s="2"/>
      <c r="H1" s="2"/>
      <c r="I1" s="2"/>
      <c r="J1" s="2"/>
      <c r="K1" s="2"/>
    </row>
    <row r="2" spans="1:11" ht="14" x14ac:dyDescent="0.3">
      <c r="A2" s="65" t="s">
        <v>1</v>
      </c>
      <c r="B2" s="66"/>
      <c r="C2" s="66"/>
      <c r="D2" s="2"/>
      <c r="E2" s="2"/>
      <c r="F2" s="2"/>
      <c r="G2" s="65" t="s">
        <v>50</v>
      </c>
      <c r="H2" s="66"/>
      <c r="I2" s="66"/>
      <c r="J2" s="1"/>
      <c r="K2" s="2"/>
    </row>
    <row r="3" spans="1:11" ht="14" x14ac:dyDescent="0.3">
      <c r="A3" s="65" t="s">
        <v>3</v>
      </c>
      <c r="B3" s="66"/>
      <c r="C3" s="66"/>
      <c r="D3" s="66"/>
      <c r="E3" s="66"/>
      <c r="F3" s="2"/>
      <c r="G3" s="65" t="s">
        <v>4</v>
      </c>
      <c r="H3" s="66"/>
      <c r="I3" s="66"/>
      <c r="J3" s="66"/>
      <c r="K3" s="2"/>
    </row>
    <row r="4" spans="1:11" ht="14" x14ac:dyDescent="0.3">
      <c r="A4" s="65" t="s">
        <v>5</v>
      </c>
      <c r="B4" s="66"/>
      <c r="C4" s="66"/>
      <c r="D4" s="66"/>
      <c r="E4" s="66"/>
      <c r="F4" s="2"/>
      <c r="G4" s="65" t="s">
        <v>6</v>
      </c>
      <c r="H4" s="66"/>
      <c r="I4" s="66"/>
      <c r="J4" s="6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60" t="s">
        <v>7</v>
      </c>
      <c r="B6" s="61"/>
      <c r="C6" s="61"/>
      <c r="D6" s="61"/>
      <c r="E6" s="61"/>
      <c r="F6" s="61"/>
      <c r="G6" s="61"/>
      <c r="H6" s="61"/>
      <c r="I6" s="61"/>
      <c r="J6" s="61"/>
      <c r="K6" s="62"/>
    </row>
    <row r="7" spans="1:11" ht="14" x14ac:dyDescent="0.3">
      <c r="A7" s="67" t="s">
        <v>8</v>
      </c>
      <c r="B7" s="68"/>
      <c r="C7" s="68"/>
      <c r="D7" s="68"/>
      <c r="E7" s="68"/>
      <c r="F7" s="68"/>
      <c r="G7" s="68"/>
      <c r="H7" s="68"/>
      <c r="I7" s="68"/>
      <c r="J7" s="68"/>
      <c r="K7" s="69"/>
    </row>
    <row r="8" spans="1:11" ht="14" x14ac:dyDescent="0.3">
      <c r="A8" s="4" t="s">
        <v>9</v>
      </c>
      <c r="B8" s="5"/>
      <c r="C8" s="5"/>
      <c r="D8" s="5"/>
      <c r="E8" s="70" t="s">
        <v>10</v>
      </c>
      <c r="F8" s="71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5.75" customHeight="1" x14ac:dyDescent="0.25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11">
        <v>-179</v>
      </c>
    </row>
    <row r="11" spans="1:11" ht="15.75" customHeight="1" x14ac:dyDescent="0.25">
      <c r="A11" s="12" t="s">
        <v>23</v>
      </c>
      <c r="B11" s="13"/>
      <c r="C11" s="13"/>
      <c r="D11" s="13"/>
      <c r="E11" s="13"/>
      <c r="F11" s="13"/>
      <c r="G11" s="13"/>
      <c r="H11" s="13"/>
      <c r="I11" s="13"/>
      <c r="J11" s="13"/>
      <c r="K11" s="14"/>
    </row>
    <row r="12" spans="1:11" ht="15.75" customHeight="1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</row>
    <row r="13" spans="1:11" ht="15.75" customHeight="1" x14ac:dyDescent="0.25">
      <c r="A13" s="12" t="s">
        <v>24</v>
      </c>
      <c r="B13" s="13">
        <v>9</v>
      </c>
      <c r="C13" s="13">
        <v>28</v>
      </c>
      <c r="D13" s="13">
        <v>4</v>
      </c>
      <c r="E13" s="13">
        <v>1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4">
        <v>42</v>
      </c>
    </row>
    <row r="14" spans="1:11" ht="15.75" customHeight="1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</row>
    <row r="15" spans="1:11" ht="15.75" customHeight="1" x14ac:dyDescent="0.25">
      <c r="A15" s="12" t="s">
        <v>25</v>
      </c>
      <c r="B15" s="13">
        <v>8</v>
      </c>
      <c r="C15" s="13">
        <v>13</v>
      </c>
      <c r="D15" s="13">
        <v>3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4">
        <v>24</v>
      </c>
    </row>
    <row r="16" spans="1:11" ht="15.75" customHeight="1" x14ac:dyDescent="0.2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4"/>
    </row>
    <row r="17" spans="1:11" ht="15.75" customHeight="1" x14ac:dyDescent="0.25">
      <c r="A17" s="12" t="s">
        <v>26</v>
      </c>
      <c r="B17" s="13">
        <v>7</v>
      </c>
      <c r="C17" s="13">
        <v>12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4">
        <v>19</v>
      </c>
    </row>
    <row r="18" spans="1:11" ht="15.75" customHeight="1" x14ac:dyDescent="0.25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4"/>
    </row>
    <row r="19" spans="1:11" ht="15.75" customHeight="1" x14ac:dyDescent="0.25">
      <c r="A19" s="12" t="s">
        <v>27</v>
      </c>
      <c r="B19" s="13">
        <v>6</v>
      </c>
      <c r="C19" s="13">
        <v>3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4">
        <v>9</v>
      </c>
    </row>
    <row r="20" spans="1:11" ht="12.5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4"/>
    </row>
    <row r="21" spans="1:11" ht="12.5" x14ac:dyDescent="0.25">
      <c r="A21" s="12" t="s">
        <v>28</v>
      </c>
      <c r="B21" s="13">
        <v>3</v>
      </c>
      <c r="C21" s="13">
        <v>2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4">
        <v>5</v>
      </c>
    </row>
    <row r="22" spans="1:11" ht="12.5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4"/>
    </row>
    <row r="23" spans="1:11" ht="12.5" x14ac:dyDescent="0.25">
      <c r="A23" s="12" t="s">
        <v>29</v>
      </c>
      <c r="B23" s="13">
        <v>8</v>
      </c>
      <c r="C23" s="13">
        <v>9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4">
        <v>18</v>
      </c>
    </row>
    <row r="24" spans="1:11" ht="12.5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4"/>
    </row>
    <row r="25" spans="1:11" ht="12.5" x14ac:dyDescent="0.25">
      <c r="A25" s="12" t="s">
        <v>30</v>
      </c>
      <c r="B25" s="13">
        <v>13</v>
      </c>
      <c r="C25" s="13">
        <v>14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4">
        <v>27</v>
      </c>
    </row>
    <row r="26" spans="1:11" ht="12.5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4"/>
    </row>
    <row r="27" spans="1:11" ht="12.5" x14ac:dyDescent="0.25">
      <c r="A27" s="12" t="s">
        <v>31</v>
      </c>
      <c r="B27" s="13">
        <v>10</v>
      </c>
      <c r="C27" s="13">
        <v>8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4">
        <v>18</v>
      </c>
    </row>
    <row r="28" spans="1:11" ht="12.5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4"/>
    </row>
    <row r="29" spans="1:11" ht="12.5" x14ac:dyDescent="0.25">
      <c r="A29" s="12" t="s">
        <v>32</v>
      </c>
      <c r="B29" s="13">
        <v>3</v>
      </c>
      <c r="C29" s="13">
        <v>3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4">
        <v>6</v>
      </c>
    </row>
    <row r="30" spans="1:11" ht="12.5" x14ac:dyDescent="0.25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4"/>
    </row>
    <row r="31" spans="1:11" ht="12.5" x14ac:dyDescent="0.25">
      <c r="A31" s="12" t="s">
        <v>33</v>
      </c>
      <c r="B31" s="13">
        <v>3</v>
      </c>
      <c r="C31" s="13">
        <v>8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4">
        <v>11</v>
      </c>
    </row>
    <row r="32" spans="1:11" ht="12.5" x14ac:dyDescent="0.2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4"/>
    </row>
    <row r="33" spans="1:11" ht="12.5" x14ac:dyDescent="0.25">
      <c r="A33" s="12" t="s">
        <v>34</v>
      </c>
      <c r="B33" s="13">
        <v>7</v>
      </c>
      <c r="C33" s="13">
        <v>21</v>
      </c>
      <c r="D33" s="13">
        <v>5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4">
        <v>33</v>
      </c>
    </row>
    <row r="34" spans="1:11" ht="12.5" x14ac:dyDescent="0.25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4"/>
    </row>
    <row r="35" spans="1:11" ht="12.5" x14ac:dyDescent="0.25">
      <c r="A35" s="12" t="s">
        <v>35</v>
      </c>
      <c r="B35" s="13">
        <v>21</v>
      </c>
      <c r="C35" s="13">
        <v>36</v>
      </c>
      <c r="D35" s="13">
        <v>10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4">
        <v>67</v>
      </c>
    </row>
    <row r="36" spans="1:11" ht="12.5" x14ac:dyDescent="0.25">
      <c r="A36" s="15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 ht="12.5" x14ac:dyDescent="0.25">
      <c r="A37" s="63" t="s">
        <v>21</v>
      </c>
      <c r="B37" s="63">
        <v>98</v>
      </c>
      <c r="C37" s="63">
        <v>157</v>
      </c>
      <c r="D37" s="63">
        <v>22</v>
      </c>
      <c r="E37" s="63">
        <v>2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100</v>
      </c>
    </row>
    <row r="38" spans="1:11" ht="12.5" x14ac:dyDescent="0.2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1:11" ht="12.5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1:11" ht="12.5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65" t="s">
        <v>0</v>
      </c>
      <c r="B44" s="66"/>
      <c r="C44" s="66"/>
      <c r="D44" s="66"/>
      <c r="E44" s="66"/>
      <c r="F44" s="2"/>
      <c r="G44" s="2"/>
      <c r="H44" s="2"/>
      <c r="I44" s="2"/>
      <c r="J44" s="2"/>
      <c r="K44" s="2"/>
    </row>
    <row r="45" spans="1:11" ht="14" x14ac:dyDescent="0.3">
      <c r="A45" s="65" t="s">
        <v>1</v>
      </c>
      <c r="B45" s="66"/>
      <c r="C45" s="66"/>
      <c r="D45" s="2"/>
      <c r="E45" s="2"/>
      <c r="F45" s="2"/>
      <c r="G45" s="65" t="s">
        <v>51</v>
      </c>
      <c r="H45" s="66"/>
      <c r="I45" s="66"/>
      <c r="J45" s="1"/>
      <c r="K45" s="2"/>
    </row>
    <row r="46" spans="1:11" ht="14" x14ac:dyDescent="0.3">
      <c r="A46" s="65" t="s">
        <v>3</v>
      </c>
      <c r="B46" s="66"/>
      <c r="C46" s="66"/>
      <c r="D46" s="66"/>
      <c r="E46" s="66"/>
      <c r="F46" s="2"/>
      <c r="G46" s="65" t="s">
        <v>4</v>
      </c>
      <c r="H46" s="66"/>
      <c r="I46" s="66"/>
      <c r="J46" s="66"/>
      <c r="K46" s="2"/>
    </row>
    <row r="47" spans="1:11" ht="14" x14ac:dyDescent="0.3">
      <c r="A47" s="65" t="s">
        <v>5</v>
      </c>
      <c r="B47" s="66"/>
      <c r="C47" s="66"/>
      <c r="D47" s="66"/>
      <c r="E47" s="66"/>
      <c r="F47" s="2"/>
      <c r="G47" s="65" t="s">
        <v>6</v>
      </c>
      <c r="H47" s="66"/>
      <c r="I47" s="66"/>
      <c r="J47" s="6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60" t="s">
        <v>7</v>
      </c>
      <c r="B49" s="61"/>
      <c r="C49" s="61"/>
      <c r="D49" s="61"/>
      <c r="E49" s="61"/>
      <c r="F49" s="61"/>
      <c r="G49" s="61"/>
      <c r="H49" s="61"/>
      <c r="I49" s="61"/>
      <c r="J49" s="61"/>
      <c r="K49" s="62"/>
    </row>
    <row r="50" spans="1:11" ht="14" x14ac:dyDescent="0.3">
      <c r="A50" s="67" t="s">
        <v>8</v>
      </c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" x14ac:dyDescent="0.3">
      <c r="A51" s="4" t="s">
        <v>9</v>
      </c>
      <c r="B51" s="5"/>
      <c r="C51" s="5"/>
      <c r="D51" s="5"/>
      <c r="E51" s="70" t="s">
        <v>10</v>
      </c>
      <c r="F51" s="71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25" t="s">
        <v>22</v>
      </c>
      <c r="B53" s="26"/>
      <c r="C53" s="26"/>
      <c r="D53" s="26"/>
      <c r="E53" s="26"/>
      <c r="F53" s="26"/>
      <c r="G53" s="26"/>
      <c r="H53" s="26"/>
      <c r="I53" s="26"/>
      <c r="J53" s="26"/>
      <c r="K53" s="59">
        <v>-177</v>
      </c>
    </row>
    <row r="54" spans="1:11" ht="14" x14ac:dyDescent="0.3">
      <c r="A54" s="27" t="s">
        <v>23</v>
      </c>
      <c r="B54" s="18"/>
      <c r="C54" s="18"/>
      <c r="D54" s="18"/>
      <c r="E54" s="18"/>
      <c r="F54" s="18"/>
      <c r="G54" s="18"/>
      <c r="H54" s="18"/>
      <c r="I54" s="18"/>
      <c r="J54" s="18"/>
      <c r="K54" s="19"/>
    </row>
    <row r="55" spans="1:11" ht="14" x14ac:dyDescent="0.3">
      <c r="A55" s="27"/>
      <c r="B55" s="18"/>
      <c r="C55" s="18"/>
      <c r="D55" s="18"/>
      <c r="E55" s="18"/>
      <c r="F55" s="18"/>
      <c r="G55" s="18"/>
      <c r="H55" s="18"/>
      <c r="I55" s="18"/>
      <c r="J55" s="18"/>
      <c r="K55" s="19"/>
    </row>
    <row r="56" spans="1:11" ht="14" x14ac:dyDescent="0.3">
      <c r="A56" s="27" t="s">
        <v>24</v>
      </c>
      <c r="B56" s="18">
        <v>9</v>
      </c>
      <c r="C56" s="18">
        <v>15</v>
      </c>
      <c r="D56" s="18">
        <v>3</v>
      </c>
      <c r="E56" s="18">
        <v>2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9">
        <v>29</v>
      </c>
    </row>
    <row r="57" spans="1:11" ht="14" x14ac:dyDescent="0.3">
      <c r="A57" s="27"/>
      <c r="B57" s="18"/>
      <c r="C57" s="18"/>
      <c r="D57" s="18"/>
      <c r="E57" s="18"/>
      <c r="F57" s="18"/>
      <c r="G57" s="18"/>
      <c r="H57" s="18"/>
      <c r="I57" s="18"/>
      <c r="J57" s="18"/>
      <c r="K57" s="19"/>
    </row>
    <row r="58" spans="1:11" ht="14" x14ac:dyDescent="0.3">
      <c r="A58" s="27" t="s">
        <v>25</v>
      </c>
      <c r="B58" s="18">
        <v>14</v>
      </c>
      <c r="C58" s="18">
        <v>15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9">
        <v>29</v>
      </c>
    </row>
    <row r="59" spans="1:11" ht="14" x14ac:dyDescent="0.3">
      <c r="A59" s="27"/>
      <c r="B59" s="18"/>
      <c r="C59" s="18"/>
      <c r="D59" s="18"/>
      <c r="E59" s="18"/>
      <c r="F59" s="18"/>
      <c r="G59" s="18"/>
      <c r="H59" s="18"/>
      <c r="I59" s="18"/>
      <c r="J59" s="18"/>
      <c r="K59" s="19"/>
    </row>
    <row r="60" spans="1:11" ht="14" x14ac:dyDescent="0.3">
      <c r="A60" s="27" t="s">
        <v>26</v>
      </c>
      <c r="B60" s="18">
        <v>23</v>
      </c>
      <c r="C60" s="18">
        <v>10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9">
        <v>33</v>
      </c>
    </row>
    <row r="61" spans="1:11" ht="14" x14ac:dyDescent="0.3">
      <c r="A61" s="27"/>
      <c r="B61" s="18"/>
      <c r="C61" s="18"/>
      <c r="D61" s="18"/>
      <c r="E61" s="18"/>
      <c r="F61" s="18"/>
      <c r="G61" s="18"/>
      <c r="H61" s="18"/>
      <c r="I61" s="18"/>
      <c r="J61" s="18"/>
      <c r="K61" s="19"/>
    </row>
    <row r="62" spans="1:11" ht="14" x14ac:dyDescent="0.3">
      <c r="A62" s="27" t="s">
        <v>27</v>
      </c>
      <c r="B62" s="18">
        <v>3</v>
      </c>
      <c r="C62" s="18">
        <v>1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9">
        <v>4</v>
      </c>
    </row>
    <row r="63" spans="1:11" ht="14" x14ac:dyDescent="0.3">
      <c r="A63" s="27"/>
      <c r="B63" s="18"/>
      <c r="C63" s="18"/>
      <c r="D63" s="18"/>
      <c r="E63" s="18"/>
      <c r="F63" s="18"/>
      <c r="G63" s="18"/>
      <c r="H63" s="18"/>
      <c r="I63" s="18"/>
      <c r="J63" s="18"/>
      <c r="K63" s="19"/>
    </row>
    <row r="64" spans="1:11" ht="14" x14ac:dyDescent="0.3">
      <c r="A64" s="27" t="s">
        <v>28</v>
      </c>
      <c r="B64" s="18">
        <v>4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9">
        <v>4</v>
      </c>
    </row>
    <row r="65" spans="1:11" ht="14" x14ac:dyDescent="0.3">
      <c r="A65" s="27"/>
      <c r="B65" s="18"/>
      <c r="C65" s="18"/>
      <c r="D65" s="18"/>
      <c r="E65" s="18"/>
      <c r="F65" s="18"/>
      <c r="G65" s="18"/>
      <c r="H65" s="18"/>
      <c r="I65" s="18"/>
      <c r="J65" s="18"/>
      <c r="K65" s="19"/>
    </row>
    <row r="66" spans="1:11" ht="14" x14ac:dyDescent="0.3">
      <c r="A66" s="27" t="s">
        <v>29</v>
      </c>
      <c r="B66" s="18">
        <v>4</v>
      </c>
      <c r="C66" s="18">
        <v>3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9">
        <v>7</v>
      </c>
    </row>
    <row r="67" spans="1:11" ht="14" x14ac:dyDescent="0.3">
      <c r="A67" s="27"/>
      <c r="B67" s="18"/>
      <c r="C67" s="18"/>
      <c r="D67" s="18"/>
      <c r="E67" s="18"/>
      <c r="F67" s="18"/>
      <c r="G67" s="18"/>
      <c r="H67" s="18"/>
      <c r="I67" s="18"/>
      <c r="J67" s="18"/>
      <c r="K67" s="19"/>
    </row>
    <row r="68" spans="1:11" ht="14" x14ac:dyDescent="0.3">
      <c r="A68" s="27" t="s">
        <v>30</v>
      </c>
      <c r="B68" s="18">
        <v>13</v>
      </c>
      <c r="C68" s="18">
        <v>9</v>
      </c>
      <c r="D68" s="18">
        <v>0</v>
      </c>
      <c r="E68" s="18">
        <v>1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9">
        <v>23</v>
      </c>
    </row>
    <row r="69" spans="1:11" ht="14" x14ac:dyDescent="0.3">
      <c r="A69" s="27"/>
      <c r="B69" s="18"/>
      <c r="C69" s="18"/>
      <c r="D69" s="18"/>
      <c r="E69" s="18"/>
      <c r="F69" s="18"/>
      <c r="G69" s="18"/>
      <c r="H69" s="18"/>
      <c r="I69" s="18"/>
      <c r="J69" s="18"/>
      <c r="K69" s="19"/>
    </row>
    <row r="70" spans="1:11" ht="14" x14ac:dyDescent="0.3">
      <c r="A70" s="27" t="s">
        <v>31</v>
      </c>
      <c r="B70" s="18">
        <v>18</v>
      </c>
      <c r="C70" s="18">
        <v>14</v>
      </c>
      <c r="D70" s="18">
        <v>3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9">
        <v>35</v>
      </c>
    </row>
    <row r="71" spans="1:11" ht="14" x14ac:dyDescent="0.3">
      <c r="A71" s="27"/>
      <c r="B71" s="18"/>
      <c r="C71" s="18"/>
      <c r="D71" s="18"/>
      <c r="E71" s="18"/>
      <c r="F71" s="18"/>
      <c r="G71" s="18"/>
      <c r="H71" s="18"/>
      <c r="I71" s="18"/>
      <c r="J71" s="18"/>
      <c r="K71" s="19"/>
    </row>
    <row r="72" spans="1:11" ht="14" x14ac:dyDescent="0.3">
      <c r="A72" s="27" t="s">
        <v>32</v>
      </c>
      <c r="B72" s="18">
        <v>9</v>
      </c>
      <c r="C72" s="18">
        <v>3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9">
        <v>12</v>
      </c>
    </row>
    <row r="73" spans="1:11" ht="14" x14ac:dyDescent="0.3">
      <c r="A73" s="27"/>
      <c r="B73" s="18"/>
      <c r="C73" s="18"/>
      <c r="D73" s="18"/>
      <c r="E73" s="18"/>
      <c r="F73" s="18"/>
      <c r="G73" s="18"/>
      <c r="H73" s="18"/>
      <c r="I73" s="18"/>
      <c r="J73" s="18"/>
      <c r="K73" s="19"/>
    </row>
    <row r="74" spans="1:11" ht="14" x14ac:dyDescent="0.3">
      <c r="A74" s="27" t="s">
        <v>33</v>
      </c>
      <c r="B74" s="18">
        <v>4</v>
      </c>
      <c r="C74" s="18">
        <v>5</v>
      </c>
      <c r="D74" s="18">
        <v>4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9">
        <v>13</v>
      </c>
    </row>
    <row r="75" spans="1:11" ht="14" x14ac:dyDescent="0.3">
      <c r="A75" s="27"/>
      <c r="B75" s="18"/>
      <c r="C75" s="18"/>
      <c r="D75" s="18"/>
      <c r="E75" s="18"/>
      <c r="F75" s="18"/>
      <c r="G75" s="18"/>
      <c r="H75" s="18"/>
      <c r="I75" s="18"/>
      <c r="J75" s="18"/>
      <c r="K75" s="19"/>
    </row>
    <row r="76" spans="1:11" ht="14" x14ac:dyDescent="0.3">
      <c r="A76" s="27" t="s">
        <v>34</v>
      </c>
      <c r="B76" s="18">
        <v>19</v>
      </c>
      <c r="C76" s="18">
        <v>12</v>
      </c>
      <c r="D76" s="18">
        <v>3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9">
        <v>34</v>
      </c>
    </row>
    <row r="77" spans="1:11" ht="14" x14ac:dyDescent="0.3">
      <c r="A77" s="27"/>
      <c r="B77" s="18"/>
      <c r="C77" s="18"/>
      <c r="D77" s="18"/>
      <c r="E77" s="18"/>
      <c r="F77" s="18"/>
      <c r="G77" s="18"/>
      <c r="H77" s="18"/>
      <c r="I77" s="18"/>
      <c r="J77" s="18"/>
      <c r="K77" s="19"/>
    </row>
    <row r="78" spans="1:11" ht="14" x14ac:dyDescent="0.3">
      <c r="A78" s="27" t="s">
        <v>35</v>
      </c>
      <c r="B78" s="18">
        <v>23</v>
      </c>
      <c r="C78" s="18">
        <v>29</v>
      </c>
      <c r="D78" s="18">
        <v>2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9">
        <v>54</v>
      </c>
    </row>
    <row r="79" spans="1:11" ht="12.5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</row>
    <row r="80" spans="1:11" ht="12.5" x14ac:dyDescent="0.25">
      <c r="A80" s="63" t="s">
        <v>21</v>
      </c>
      <c r="B80" s="63">
        <v>143</v>
      </c>
      <c r="C80" s="63">
        <v>116</v>
      </c>
      <c r="D80" s="63">
        <v>15</v>
      </c>
      <c r="E80" s="63">
        <v>3</v>
      </c>
      <c r="F80" s="63">
        <v>0</v>
      </c>
      <c r="G80" s="63">
        <v>0</v>
      </c>
      <c r="H80" s="63">
        <v>0</v>
      </c>
      <c r="I80" s="63">
        <v>0</v>
      </c>
      <c r="J80" s="63">
        <v>0</v>
      </c>
      <c r="K80" s="63">
        <v>100</v>
      </c>
    </row>
    <row r="81" spans="1:11" ht="12.5" x14ac:dyDescent="0.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</row>
    <row r="82" spans="1:11" ht="12.5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</row>
    <row r="83" spans="1:11" ht="12.5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65" t="s">
        <v>0</v>
      </c>
      <c r="B87" s="66"/>
      <c r="C87" s="66"/>
      <c r="D87" s="66"/>
      <c r="E87" s="66"/>
      <c r="F87" s="2"/>
      <c r="G87" s="2"/>
      <c r="H87" s="2"/>
      <c r="I87" s="2"/>
      <c r="J87" s="2"/>
      <c r="K87" s="2"/>
    </row>
    <row r="88" spans="1:11" ht="14" x14ac:dyDescent="0.3">
      <c r="A88" s="65" t="s">
        <v>1</v>
      </c>
      <c r="B88" s="66"/>
      <c r="C88" s="66"/>
      <c r="D88" s="2"/>
      <c r="E88" s="2"/>
      <c r="F88" s="2"/>
      <c r="G88" s="65" t="s">
        <v>52</v>
      </c>
      <c r="H88" s="66"/>
      <c r="I88" s="66"/>
      <c r="J88" s="1"/>
      <c r="K88" s="2"/>
    </row>
    <row r="89" spans="1:11" ht="14" x14ac:dyDescent="0.3">
      <c r="A89" s="65" t="s">
        <v>3</v>
      </c>
      <c r="B89" s="66"/>
      <c r="C89" s="66"/>
      <c r="D89" s="66"/>
      <c r="E89" s="66"/>
      <c r="F89" s="2"/>
      <c r="G89" s="65" t="s">
        <v>4</v>
      </c>
      <c r="H89" s="66"/>
      <c r="I89" s="66"/>
      <c r="J89" s="66"/>
      <c r="K89" s="2"/>
    </row>
    <row r="90" spans="1:11" ht="14" x14ac:dyDescent="0.3">
      <c r="A90" s="65" t="s">
        <v>5</v>
      </c>
      <c r="B90" s="66"/>
      <c r="C90" s="66"/>
      <c r="D90" s="66"/>
      <c r="E90" s="66"/>
      <c r="F90" s="2"/>
      <c r="G90" s="65" t="s">
        <v>6</v>
      </c>
      <c r="H90" s="66"/>
      <c r="I90" s="66"/>
      <c r="J90" s="6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60" t="s">
        <v>7</v>
      </c>
      <c r="B92" s="61"/>
      <c r="C92" s="61"/>
      <c r="D92" s="61"/>
      <c r="E92" s="61"/>
      <c r="F92" s="61"/>
      <c r="G92" s="61"/>
      <c r="H92" s="61"/>
      <c r="I92" s="61"/>
      <c r="J92" s="61"/>
      <c r="K92" s="62"/>
    </row>
    <row r="93" spans="1:11" ht="14" x14ac:dyDescent="0.3">
      <c r="A93" s="67" t="s">
        <v>8</v>
      </c>
      <c r="B93" s="68"/>
      <c r="C93" s="68"/>
      <c r="D93" s="68"/>
      <c r="E93" s="68"/>
      <c r="F93" s="68"/>
      <c r="G93" s="68"/>
      <c r="H93" s="68"/>
      <c r="I93" s="68"/>
      <c r="J93" s="68"/>
      <c r="K93" s="69"/>
    </row>
    <row r="94" spans="1:11" ht="14" x14ac:dyDescent="0.3">
      <c r="A94" s="4" t="s">
        <v>9</v>
      </c>
      <c r="B94" s="5"/>
      <c r="C94" s="5"/>
      <c r="D94" s="5"/>
      <c r="E94" s="70" t="s">
        <v>10</v>
      </c>
      <c r="F94" s="71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25" t="s">
        <v>22</v>
      </c>
      <c r="B96" s="26"/>
      <c r="C96" s="26"/>
      <c r="D96" s="26"/>
      <c r="E96" s="26"/>
      <c r="F96" s="26"/>
      <c r="G96" s="26"/>
      <c r="H96" s="26"/>
      <c r="I96" s="26"/>
      <c r="J96" s="26"/>
      <c r="K96" s="59">
        <v>-349</v>
      </c>
    </row>
    <row r="97" spans="1:11" ht="14" x14ac:dyDescent="0.3">
      <c r="A97" s="27" t="s">
        <v>23</v>
      </c>
      <c r="B97" s="18"/>
      <c r="C97" s="18"/>
      <c r="D97" s="18"/>
      <c r="E97" s="18"/>
      <c r="F97" s="18"/>
      <c r="G97" s="18"/>
      <c r="H97" s="18"/>
      <c r="I97" s="18"/>
      <c r="J97" s="18"/>
      <c r="K97" s="19"/>
    </row>
    <row r="98" spans="1:11" ht="14" x14ac:dyDescent="0.3">
      <c r="A98" s="27"/>
      <c r="B98" s="18"/>
      <c r="C98" s="18"/>
      <c r="D98" s="18"/>
      <c r="E98" s="18"/>
      <c r="F98" s="18"/>
      <c r="G98" s="18"/>
      <c r="H98" s="18"/>
      <c r="I98" s="18"/>
      <c r="J98" s="18"/>
      <c r="K98" s="19"/>
    </row>
    <row r="99" spans="1:11" ht="14" x14ac:dyDescent="0.3">
      <c r="A99" s="27" t="s">
        <v>24</v>
      </c>
      <c r="B99" s="18">
        <v>33</v>
      </c>
      <c r="C99" s="18">
        <v>12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9">
        <v>45</v>
      </c>
    </row>
    <row r="100" spans="1:11" ht="14" x14ac:dyDescent="0.3">
      <c r="A100" s="27"/>
      <c r="B100" s="18"/>
      <c r="C100" s="18"/>
      <c r="D100" s="18"/>
      <c r="E100" s="18"/>
      <c r="F100" s="18"/>
      <c r="G100" s="18"/>
      <c r="H100" s="18"/>
      <c r="I100" s="18"/>
      <c r="J100" s="18"/>
      <c r="K100" s="19"/>
    </row>
    <row r="101" spans="1:11" ht="14" x14ac:dyDescent="0.3">
      <c r="A101" s="27" t="s">
        <v>25</v>
      </c>
      <c r="B101" s="18">
        <v>20</v>
      </c>
      <c r="C101" s="18">
        <v>9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9">
        <v>29</v>
      </c>
    </row>
    <row r="102" spans="1:11" ht="14" x14ac:dyDescent="0.3">
      <c r="A102" s="27"/>
      <c r="B102" s="18"/>
      <c r="C102" s="18"/>
      <c r="D102" s="18"/>
      <c r="E102" s="18"/>
      <c r="F102" s="18"/>
      <c r="G102" s="18"/>
      <c r="H102" s="18"/>
      <c r="I102" s="18"/>
      <c r="J102" s="18"/>
      <c r="K102" s="19"/>
    </row>
    <row r="103" spans="1:11" ht="14" x14ac:dyDescent="0.3">
      <c r="A103" s="27" t="s">
        <v>26</v>
      </c>
      <c r="B103" s="18">
        <v>20</v>
      </c>
      <c r="C103" s="18">
        <v>8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9">
        <v>28</v>
      </c>
    </row>
    <row r="104" spans="1:11" ht="14" x14ac:dyDescent="0.3">
      <c r="A104" s="27"/>
      <c r="B104" s="18"/>
      <c r="C104" s="18"/>
      <c r="D104" s="18"/>
      <c r="E104" s="18"/>
      <c r="F104" s="18"/>
      <c r="G104" s="18"/>
      <c r="H104" s="18"/>
      <c r="I104" s="18"/>
      <c r="J104" s="18"/>
      <c r="K104" s="19"/>
    </row>
    <row r="105" spans="1:11" ht="14" x14ac:dyDescent="0.3">
      <c r="A105" s="27" t="s">
        <v>27</v>
      </c>
      <c r="B105" s="18">
        <v>6</v>
      </c>
      <c r="C105" s="18">
        <v>2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9">
        <v>8</v>
      </c>
    </row>
    <row r="106" spans="1:11" ht="14" x14ac:dyDescent="0.3">
      <c r="A106" s="27"/>
      <c r="B106" s="18"/>
      <c r="C106" s="18"/>
      <c r="D106" s="18"/>
      <c r="E106" s="18"/>
      <c r="F106" s="18"/>
      <c r="G106" s="18"/>
      <c r="H106" s="18"/>
      <c r="I106" s="18"/>
      <c r="J106" s="18"/>
      <c r="K106" s="19"/>
    </row>
    <row r="107" spans="1:11" ht="14" x14ac:dyDescent="0.3">
      <c r="A107" s="27" t="s">
        <v>28</v>
      </c>
      <c r="B107" s="18">
        <v>13</v>
      </c>
      <c r="C107" s="18">
        <v>3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9">
        <v>16</v>
      </c>
    </row>
    <row r="108" spans="1:11" ht="14" x14ac:dyDescent="0.3">
      <c r="A108" s="27"/>
      <c r="B108" s="18"/>
      <c r="C108" s="18"/>
      <c r="D108" s="18"/>
      <c r="E108" s="18"/>
      <c r="F108" s="18"/>
      <c r="G108" s="18"/>
      <c r="H108" s="18"/>
      <c r="I108" s="18"/>
      <c r="J108" s="18"/>
      <c r="K108" s="19"/>
    </row>
    <row r="109" spans="1:11" ht="14" x14ac:dyDescent="0.3">
      <c r="A109" s="27" t="s">
        <v>29</v>
      </c>
      <c r="B109" s="18">
        <v>17</v>
      </c>
      <c r="C109" s="18">
        <v>7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9">
        <v>24</v>
      </c>
    </row>
    <row r="110" spans="1:11" ht="14" x14ac:dyDescent="0.3">
      <c r="A110" s="27"/>
      <c r="B110" s="18"/>
      <c r="C110" s="18"/>
      <c r="D110" s="18"/>
      <c r="E110" s="18"/>
      <c r="F110" s="18"/>
      <c r="G110" s="18"/>
      <c r="H110" s="18"/>
      <c r="I110" s="18"/>
      <c r="J110" s="18"/>
      <c r="K110" s="19"/>
    </row>
    <row r="111" spans="1:11" ht="14" x14ac:dyDescent="0.3">
      <c r="A111" s="27" t="s">
        <v>30</v>
      </c>
      <c r="B111" s="18">
        <v>29</v>
      </c>
      <c r="C111" s="18">
        <v>16</v>
      </c>
      <c r="D111" s="18">
        <v>4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9">
        <v>49</v>
      </c>
    </row>
    <row r="112" spans="1:11" ht="14" x14ac:dyDescent="0.3">
      <c r="A112" s="27"/>
      <c r="B112" s="18"/>
      <c r="C112" s="18"/>
      <c r="D112" s="18"/>
      <c r="E112" s="18"/>
      <c r="F112" s="18"/>
      <c r="G112" s="18"/>
      <c r="H112" s="18"/>
      <c r="I112" s="18"/>
      <c r="J112" s="18"/>
      <c r="K112" s="19"/>
    </row>
    <row r="113" spans="1:11" ht="14" x14ac:dyDescent="0.3">
      <c r="A113" s="27" t="s">
        <v>31</v>
      </c>
      <c r="B113" s="18">
        <v>39</v>
      </c>
      <c r="C113" s="18">
        <v>14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9">
        <v>53</v>
      </c>
    </row>
    <row r="114" spans="1:11" ht="14" x14ac:dyDescent="0.3">
      <c r="A114" s="27"/>
      <c r="B114" s="18"/>
      <c r="C114" s="18"/>
      <c r="D114" s="18"/>
      <c r="E114" s="18"/>
      <c r="F114" s="18"/>
      <c r="G114" s="18"/>
      <c r="H114" s="18"/>
      <c r="I114" s="18"/>
      <c r="J114" s="18"/>
      <c r="K114" s="19"/>
    </row>
    <row r="115" spans="1:11" ht="14" x14ac:dyDescent="0.3">
      <c r="A115" s="27" t="s">
        <v>32</v>
      </c>
      <c r="B115" s="18">
        <v>11</v>
      </c>
      <c r="C115" s="18">
        <v>3</v>
      </c>
      <c r="D115" s="18">
        <v>1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9">
        <v>15</v>
      </c>
    </row>
    <row r="116" spans="1:11" ht="14" x14ac:dyDescent="0.3">
      <c r="A116" s="27"/>
      <c r="B116" s="18"/>
      <c r="C116" s="18"/>
      <c r="D116" s="18"/>
      <c r="E116" s="18"/>
      <c r="F116" s="18"/>
      <c r="G116" s="18"/>
      <c r="H116" s="18"/>
      <c r="I116" s="18"/>
      <c r="J116" s="18"/>
      <c r="K116" s="19"/>
    </row>
    <row r="117" spans="1:11" ht="14" x14ac:dyDescent="0.3">
      <c r="A117" s="27" t="s">
        <v>33</v>
      </c>
      <c r="B117" s="18">
        <v>13</v>
      </c>
      <c r="C117" s="18">
        <v>6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9">
        <v>19</v>
      </c>
    </row>
    <row r="118" spans="1:11" ht="14" x14ac:dyDescent="0.3">
      <c r="A118" s="27"/>
      <c r="B118" s="18"/>
      <c r="C118" s="18"/>
      <c r="D118" s="18"/>
      <c r="E118" s="18"/>
      <c r="F118" s="18"/>
      <c r="G118" s="18"/>
      <c r="H118" s="18"/>
      <c r="I118" s="18"/>
      <c r="J118" s="18"/>
      <c r="K118" s="19"/>
    </row>
    <row r="119" spans="1:11" ht="14" x14ac:dyDescent="0.3">
      <c r="A119" s="27" t="s">
        <v>34</v>
      </c>
      <c r="B119" s="18">
        <v>40</v>
      </c>
      <c r="C119" s="18">
        <v>17</v>
      </c>
      <c r="D119" s="18">
        <v>2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9">
        <v>59</v>
      </c>
    </row>
    <row r="120" spans="1:11" ht="14" x14ac:dyDescent="0.3">
      <c r="A120" s="27"/>
      <c r="B120" s="18"/>
      <c r="C120" s="18"/>
      <c r="D120" s="18"/>
      <c r="E120" s="18"/>
      <c r="F120" s="18"/>
      <c r="G120" s="18"/>
      <c r="H120" s="18"/>
      <c r="I120" s="18"/>
      <c r="J120" s="18"/>
      <c r="K120" s="19"/>
    </row>
    <row r="121" spans="1:11" ht="14" x14ac:dyDescent="0.3">
      <c r="A121" s="27" t="s">
        <v>35</v>
      </c>
      <c r="B121" s="18">
        <v>49</v>
      </c>
      <c r="C121" s="18">
        <v>52</v>
      </c>
      <c r="D121" s="18">
        <v>3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9">
        <v>104</v>
      </c>
    </row>
    <row r="122" spans="1:11" ht="12.5" x14ac:dyDescent="0.25">
      <c r="A122" s="15"/>
      <c r="B122" s="14"/>
      <c r="C122" s="14"/>
      <c r="D122" s="14"/>
      <c r="E122" s="14"/>
      <c r="F122" s="14"/>
      <c r="G122" s="14"/>
      <c r="H122" s="14"/>
      <c r="I122" s="14"/>
      <c r="J122" s="14"/>
      <c r="K122" s="14"/>
    </row>
    <row r="123" spans="1:11" ht="12.5" x14ac:dyDescent="0.25">
      <c r="A123" s="63" t="s">
        <v>21</v>
      </c>
      <c r="B123" s="63">
        <v>290</v>
      </c>
      <c r="C123" s="63">
        <v>149</v>
      </c>
      <c r="D123" s="63">
        <v>10</v>
      </c>
      <c r="E123" s="63">
        <v>0</v>
      </c>
      <c r="F123" s="63">
        <v>0</v>
      </c>
      <c r="G123" s="63">
        <v>0</v>
      </c>
      <c r="H123" s="63">
        <v>0</v>
      </c>
      <c r="I123" s="63">
        <v>0</v>
      </c>
      <c r="J123" s="63">
        <v>0</v>
      </c>
      <c r="K123" s="63">
        <v>100</v>
      </c>
    </row>
    <row r="124" spans="1:11" ht="12.5" x14ac:dyDescent="0.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2.5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 spans="1:11" ht="12.5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65" t="s">
        <v>0</v>
      </c>
      <c r="B130" s="66"/>
      <c r="C130" s="66"/>
      <c r="D130" s="66"/>
      <c r="E130" s="66"/>
      <c r="F130" s="2"/>
      <c r="G130" s="2"/>
      <c r="H130" s="2"/>
      <c r="I130" s="2"/>
      <c r="J130" s="2"/>
      <c r="K130" s="2"/>
    </row>
    <row r="131" spans="1:11" ht="14" x14ac:dyDescent="0.3">
      <c r="A131" s="65" t="s">
        <v>1</v>
      </c>
      <c r="B131" s="66"/>
      <c r="C131" s="66"/>
      <c r="D131" s="2"/>
      <c r="E131" s="2"/>
      <c r="F131" s="2"/>
      <c r="G131" s="65" t="s">
        <v>53</v>
      </c>
      <c r="H131" s="66"/>
      <c r="I131" s="66"/>
      <c r="J131" s="1"/>
      <c r="K131" s="2"/>
    </row>
    <row r="132" spans="1:11" ht="14" x14ac:dyDescent="0.3">
      <c r="A132" s="65" t="s">
        <v>3</v>
      </c>
      <c r="B132" s="66"/>
      <c r="C132" s="66"/>
      <c r="D132" s="66"/>
      <c r="E132" s="66"/>
      <c r="F132" s="2"/>
      <c r="G132" s="65" t="s">
        <v>4</v>
      </c>
      <c r="H132" s="66"/>
      <c r="I132" s="66"/>
      <c r="J132" s="66"/>
      <c r="K132" s="2"/>
    </row>
    <row r="133" spans="1:11" ht="14" x14ac:dyDescent="0.3">
      <c r="A133" s="65" t="s">
        <v>5</v>
      </c>
      <c r="B133" s="66"/>
      <c r="C133" s="66"/>
      <c r="D133" s="66"/>
      <c r="E133" s="66"/>
      <c r="F133" s="2"/>
      <c r="G133" s="65" t="s">
        <v>6</v>
      </c>
      <c r="H133" s="66"/>
      <c r="I133" s="66"/>
      <c r="J133" s="6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60" t="s">
        <v>7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2"/>
    </row>
    <row r="136" spans="1:11" ht="14" x14ac:dyDescent="0.3">
      <c r="A136" s="67" t="s">
        <v>8</v>
      </c>
      <c r="B136" s="68"/>
      <c r="C136" s="68"/>
      <c r="D136" s="68"/>
      <c r="E136" s="68"/>
      <c r="F136" s="68"/>
      <c r="G136" s="68"/>
      <c r="H136" s="68"/>
      <c r="I136" s="68"/>
      <c r="J136" s="68"/>
      <c r="K136" s="69"/>
    </row>
    <row r="137" spans="1:11" ht="14" x14ac:dyDescent="0.3">
      <c r="A137" s="4" t="s">
        <v>9</v>
      </c>
      <c r="B137" s="5"/>
      <c r="C137" s="5"/>
      <c r="D137" s="5"/>
      <c r="E137" s="70" t="s">
        <v>10</v>
      </c>
      <c r="F137" s="71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25" t="s">
        <v>22</v>
      </c>
      <c r="B139" s="28"/>
      <c r="C139" s="28"/>
      <c r="D139" s="28"/>
      <c r="E139" s="28"/>
      <c r="F139" s="28"/>
      <c r="G139" s="28"/>
      <c r="H139" s="28"/>
      <c r="I139" s="28"/>
      <c r="J139" s="28"/>
      <c r="K139" s="59">
        <v>-286</v>
      </c>
    </row>
    <row r="140" spans="1:11" ht="14" x14ac:dyDescent="0.3">
      <c r="A140" s="27" t="s">
        <v>23</v>
      </c>
      <c r="B140" s="18"/>
      <c r="C140" s="18"/>
      <c r="D140" s="18"/>
      <c r="E140" s="18"/>
      <c r="F140" s="18"/>
      <c r="G140" s="18"/>
      <c r="H140" s="18"/>
      <c r="I140" s="18"/>
      <c r="J140" s="18"/>
      <c r="K140" s="19"/>
    </row>
    <row r="141" spans="1:11" ht="14" x14ac:dyDescent="0.3">
      <c r="A141" s="27"/>
      <c r="B141" s="18"/>
      <c r="C141" s="18"/>
      <c r="D141" s="18"/>
      <c r="E141" s="18"/>
      <c r="F141" s="18"/>
      <c r="G141" s="18"/>
      <c r="H141" s="18"/>
      <c r="I141" s="18"/>
      <c r="J141" s="18"/>
      <c r="K141" s="19"/>
    </row>
    <row r="142" spans="1:11" ht="14" x14ac:dyDescent="0.3">
      <c r="A142" s="27" t="s">
        <v>24</v>
      </c>
      <c r="B142" s="18">
        <v>11</v>
      </c>
      <c r="C142" s="18">
        <v>12</v>
      </c>
      <c r="D142" s="18">
        <v>2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9">
        <v>25</v>
      </c>
    </row>
    <row r="143" spans="1:11" ht="14" x14ac:dyDescent="0.3">
      <c r="A143" s="27"/>
      <c r="B143" s="18"/>
      <c r="C143" s="18"/>
      <c r="D143" s="18"/>
      <c r="E143" s="18"/>
      <c r="F143" s="18"/>
      <c r="G143" s="18"/>
      <c r="H143" s="18"/>
      <c r="I143" s="18"/>
      <c r="J143" s="18"/>
      <c r="K143" s="19"/>
    </row>
    <row r="144" spans="1:11" ht="14" x14ac:dyDescent="0.3">
      <c r="A144" s="27" t="s">
        <v>25</v>
      </c>
      <c r="B144" s="18">
        <v>12</v>
      </c>
      <c r="C144" s="18">
        <v>18</v>
      </c>
      <c r="D144" s="18">
        <v>2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9">
        <v>32</v>
      </c>
    </row>
    <row r="145" spans="1:11" ht="14" x14ac:dyDescent="0.3">
      <c r="A145" s="27"/>
      <c r="B145" s="18"/>
      <c r="C145" s="18"/>
      <c r="D145" s="18"/>
      <c r="E145" s="18"/>
      <c r="F145" s="18"/>
      <c r="G145" s="18"/>
      <c r="H145" s="18"/>
      <c r="I145" s="18"/>
      <c r="J145" s="18"/>
      <c r="K145" s="19"/>
    </row>
    <row r="146" spans="1:11" ht="14" x14ac:dyDescent="0.3">
      <c r="A146" s="27" t="s">
        <v>26</v>
      </c>
      <c r="B146" s="18">
        <v>20</v>
      </c>
      <c r="C146" s="18">
        <v>11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9">
        <v>31</v>
      </c>
    </row>
    <row r="147" spans="1:11" ht="14" x14ac:dyDescent="0.3">
      <c r="A147" s="27"/>
      <c r="B147" s="18"/>
      <c r="C147" s="18"/>
      <c r="D147" s="18"/>
      <c r="E147" s="18"/>
      <c r="F147" s="18"/>
      <c r="G147" s="18"/>
      <c r="H147" s="18"/>
      <c r="I147" s="18"/>
      <c r="J147" s="18"/>
      <c r="K147" s="19"/>
    </row>
    <row r="148" spans="1:11" ht="14" x14ac:dyDescent="0.3">
      <c r="A148" s="27" t="s">
        <v>27</v>
      </c>
      <c r="B148" s="18">
        <v>14</v>
      </c>
      <c r="C148" s="18">
        <v>5</v>
      </c>
      <c r="D148" s="18">
        <v>1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9">
        <v>20</v>
      </c>
    </row>
    <row r="149" spans="1:11" ht="14" x14ac:dyDescent="0.3">
      <c r="A149" s="27"/>
      <c r="B149" s="18"/>
      <c r="C149" s="18"/>
      <c r="D149" s="18"/>
      <c r="E149" s="18"/>
      <c r="F149" s="18"/>
      <c r="G149" s="18"/>
      <c r="H149" s="18"/>
      <c r="I149" s="18"/>
      <c r="J149" s="18"/>
      <c r="K149" s="19"/>
    </row>
    <row r="150" spans="1:11" ht="14" x14ac:dyDescent="0.3">
      <c r="A150" s="27" t="s">
        <v>28</v>
      </c>
      <c r="B150" s="18">
        <v>21</v>
      </c>
      <c r="C150" s="18">
        <v>10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9">
        <v>31</v>
      </c>
    </row>
    <row r="151" spans="1:11" ht="14" x14ac:dyDescent="0.3">
      <c r="A151" s="27"/>
      <c r="B151" s="18"/>
      <c r="C151" s="18"/>
      <c r="D151" s="18"/>
      <c r="E151" s="18"/>
      <c r="F151" s="18"/>
      <c r="G151" s="18"/>
      <c r="H151" s="18"/>
      <c r="I151" s="18"/>
      <c r="J151" s="18"/>
      <c r="K151" s="19"/>
    </row>
    <row r="152" spans="1:11" ht="14" x14ac:dyDescent="0.3">
      <c r="A152" s="27" t="s">
        <v>29</v>
      </c>
      <c r="B152" s="18">
        <v>32</v>
      </c>
      <c r="C152" s="18">
        <v>14</v>
      </c>
      <c r="D152" s="18">
        <v>1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9">
        <v>47</v>
      </c>
    </row>
    <row r="153" spans="1:11" ht="14" x14ac:dyDescent="0.3">
      <c r="A153" s="27"/>
      <c r="B153" s="18"/>
      <c r="C153" s="18"/>
      <c r="D153" s="18"/>
      <c r="E153" s="18"/>
      <c r="F153" s="18"/>
      <c r="G153" s="18"/>
      <c r="H153" s="18"/>
      <c r="I153" s="18"/>
      <c r="J153" s="18"/>
      <c r="K153" s="19"/>
    </row>
    <row r="154" spans="1:11" ht="14" x14ac:dyDescent="0.3">
      <c r="A154" s="27" t="s">
        <v>30</v>
      </c>
      <c r="B154" s="18">
        <v>36</v>
      </c>
      <c r="C154" s="18">
        <v>20</v>
      </c>
      <c r="D154" s="18">
        <v>1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9">
        <v>57</v>
      </c>
    </row>
    <row r="155" spans="1:11" ht="14" x14ac:dyDescent="0.3">
      <c r="A155" s="27"/>
      <c r="B155" s="18"/>
      <c r="C155" s="18"/>
      <c r="D155" s="18"/>
      <c r="E155" s="18"/>
      <c r="F155" s="18"/>
      <c r="G155" s="18"/>
      <c r="H155" s="18"/>
      <c r="I155" s="18"/>
      <c r="J155" s="18"/>
      <c r="K155" s="19"/>
    </row>
    <row r="156" spans="1:11" ht="14" x14ac:dyDescent="0.3">
      <c r="A156" s="27" t="s">
        <v>31</v>
      </c>
      <c r="B156" s="18">
        <v>31</v>
      </c>
      <c r="C156" s="18">
        <v>11</v>
      </c>
      <c r="D156" s="18">
        <v>0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0</v>
      </c>
      <c r="K156" s="19">
        <v>42</v>
      </c>
    </row>
    <row r="157" spans="1:11" ht="14" x14ac:dyDescent="0.3">
      <c r="A157" s="27"/>
      <c r="B157" s="18"/>
      <c r="C157" s="18"/>
      <c r="D157" s="18"/>
      <c r="E157" s="18"/>
      <c r="F157" s="18"/>
      <c r="G157" s="18"/>
      <c r="H157" s="18"/>
      <c r="I157" s="18"/>
      <c r="J157" s="18"/>
      <c r="K157" s="19"/>
    </row>
    <row r="158" spans="1:11" ht="14" x14ac:dyDescent="0.3">
      <c r="A158" s="27" t="s">
        <v>32</v>
      </c>
      <c r="B158" s="18">
        <v>16</v>
      </c>
      <c r="C158" s="18">
        <v>2</v>
      </c>
      <c r="D158" s="18">
        <v>1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9">
        <v>19</v>
      </c>
    </row>
    <row r="159" spans="1:11" ht="14" x14ac:dyDescent="0.3">
      <c r="A159" s="27"/>
      <c r="B159" s="18"/>
      <c r="C159" s="18"/>
      <c r="D159" s="18"/>
      <c r="E159" s="18"/>
      <c r="F159" s="18"/>
      <c r="G159" s="18"/>
      <c r="H159" s="18"/>
      <c r="I159" s="18"/>
      <c r="J159" s="18"/>
      <c r="K159" s="19"/>
    </row>
    <row r="160" spans="1:11" ht="14" x14ac:dyDescent="0.3">
      <c r="A160" s="27" t="s">
        <v>33</v>
      </c>
      <c r="B160" s="18">
        <v>9</v>
      </c>
      <c r="C160" s="18">
        <v>5</v>
      </c>
      <c r="D160" s="18">
        <v>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9">
        <v>14</v>
      </c>
    </row>
    <row r="161" spans="1:11" ht="14" x14ac:dyDescent="0.3">
      <c r="A161" s="27"/>
      <c r="B161" s="18"/>
      <c r="C161" s="18"/>
      <c r="D161" s="18"/>
      <c r="E161" s="18"/>
      <c r="F161" s="18"/>
      <c r="G161" s="18"/>
      <c r="H161" s="18"/>
      <c r="I161" s="18"/>
      <c r="J161" s="18"/>
      <c r="K161" s="19"/>
    </row>
    <row r="162" spans="1:11" ht="14" x14ac:dyDescent="0.3">
      <c r="A162" s="27" t="s">
        <v>34</v>
      </c>
      <c r="B162" s="18">
        <v>12</v>
      </c>
      <c r="C162" s="18">
        <v>13</v>
      </c>
      <c r="D162" s="18">
        <v>2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0</v>
      </c>
      <c r="K162" s="19">
        <v>27</v>
      </c>
    </row>
    <row r="163" spans="1:11" ht="14" x14ac:dyDescent="0.3">
      <c r="A163" s="27"/>
      <c r="B163" s="18"/>
      <c r="C163" s="18"/>
      <c r="D163" s="18"/>
      <c r="E163" s="18"/>
      <c r="F163" s="18"/>
      <c r="G163" s="18"/>
      <c r="H163" s="18"/>
      <c r="I163" s="18"/>
      <c r="J163" s="18"/>
      <c r="K163" s="19"/>
    </row>
    <row r="164" spans="1:11" ht="14" x14ac:dyDescent="0.3">
      <c r="A164" s="27" t="s">
        <v>35</v>
      </c>
      <c r="B164" s="18">
        <v>24</v>
      </c>
      <c r="C164" s="18">
        <v>16</v>
      </c>
      <c r="D164" s="18">
        <v>1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9">
        <v>41</v>
      </c>
    </row>
    <row r="165" spans="1:11" ht="12.5" x14ac:dyDescent="0.25">
      <c r="A165" s="15"/>
      <c r="B165" s="14"/>
      <c r="C165" s="14"/>
      <c r="D165" s="14"/>
      <c r="E165" s="14"/>
      <c r="F165" s="14"/>
      <c r="G165" s="14"/>
      <c r="H165" s="14"/>
      <c r="I165" s="14"/>
      <c r="J165" s="14"/>
      <c r="K165" s="14"/>
    </row>
    <row r="166" spans="1:11" ht="12.5" x14ac:dyDescent="0.25">
      <c r="A166" s="63" t="s">
        <v>21</v>
      </c>
      <c r="B166" s="63">
        <v>238</v>
      </c>
      <c r="C166" s="63">
        <v>137</v>
      </c>
      <c r="D166" s="63">
        <v>11</v>
      </c>
      <c r="E166" s="63">
        <v>0</v>
      </c>
      <c r="F166" s="63">
        <v>0</v>
      </c>
      <c r="G166" s="63">
        <v>0</v>
      </c>
      <c r="H166" s="63">
        <v>0</v>
      </c>
      <c r="I166" s="63">
        <v>0</v>
      </c>
      <c r="J166" s="63">
        <v>0</v>
      </c>
      <c r="K166" s="63">
        <v>100</v>
      </c>
    </row>
    <row r="167" spans="1:11" ht="12.5" x14ac:dyDescent="0.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</row>
    <row r="168" spans="1:11" ht="12.5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 spans="1:11" ht="12.5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65" t="s">
        <v>0</v>
      </c>
      <c r="B173" s="66"/>
      <c r="C173" s="66"/>
      <c r="D173" s="66"/>
      <c r="E173" s="66"/>
      <c r="F173" s="2"/>
      <c r="G173" s="2"/>
      <c r="H173" s="2"/>
      <c r="I173" s="2"/>
      <c r="J173" s="2"/>
      <c r="K173" s="2"/>
    </row>
    <row r="174" spans="1:11" ht="14" x14ac:dyDescent="0.3">
      <c r="A174" s="65" t="s">
        <v>1</v>
      </c>
      <c r="B174" s="66"/>
      <c r="C174" s="66"/>
      <c r="D174" s="2"/>
      <c r="E174" s="2"/>
      <c r="F174" s="2"/>
      <c r="G174" s="65" t="s">
        <v>114</v>
      </c>
      <c r="H174" s="66"/>
      <c r="I174" s="66"/>
      <c r="J174" s="1"/>
      <c r="K174" s="2"/>
    </row>
    <row r="175" spans="1:11" ht="14" x14ac:dyDescent="0.3">
      <c r="A175" s="65" t="s">
        <v>3</v>
      </c>
      <c r="B175" s="66"/>
      <c r="C175" s="66"/>
      <c r="D175" s="66"/>
      <c r="E175" s="66"/>
      <c r="F175" s="2"/>
      <c r="G175" s="65" t="s">
        <v>4</v>
      </c>
      <c r="H175" s="66"/>
      <c r="I175" s="66"/>
      <c r="J175" s="66"/>
      <c r="K175" s="2"/>
    </row>
    <row r="176" spans="1:11" ht="14" x14ac:dyDescent="0.3">
      <c r="A176" s="65" t="s">
        <v>5</v>
      </c>
      <c r="B176" s="66"/>
      <c r="C176" s="66"/>
      <c r="D176" s="66"/>
      <c r="E176" s="66"/>
      <c r="F176" s="2"/>
      <c r="G176" s="65" t="s">
        <v>6</v>
      </c>
      <c r="H176" s="66"/>
      <c r="I176" s="66"/>
      <c r="J176" s="6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60" t="s">
        <v>7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2"/>
    </row>
    <row r="179" spans="1:11" ht="14" x14ac:dyDescent="0.3">
      <c r="A179" s="67" t="s">
        <v>8</v>
      </c>
      <c r="B179" s="68"/>
      <c r="C179" s="68"/>
      <c r="D179" s="68"/>
      <c r="E179" s="68"/>
      <c r="F179" s="68"/>
      <c r="G179" s="68"/>
      <c r="H179" s="68"/>
      <c r="I179" s="68"/>
      <c r="J179" s="68"/>
      <c r="K179" s="69"/>
    </row>
    <row r="180" spans="1:11" ht="14" x14ac:dyDescent="0.3">
      <c r="A180" s="4" t="s">
        <v>9</v>
      </c>
      <c r="B180" s="5"/>
      <c r="C180" s="5"/>
      <c r="D180" s="5"/>
      <c r="E180" s="70" t="s">
        <v>10</v>
      </c>
      <c r="F180" s="71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2.5" x14ac:dyDescent="0.25">
      <c r="A182" s="9" t="s">
        <v>22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1">
        <v>229</v>
      </c>
    </row>
    <row r="183" spans="1:11" ht="12.5" x14ac:dyDescent="0.25">
      <c r="A183" s="12" t="s">
        <v>23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4"/>
    </row>
    <row r="184" spans="1:11" ht="12.5" x14ac:dyDescent="0.25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4"/>
    </row>
    <row r="185" spans="1:11" ht="12.5" x14ac:dyDescent="0.25">
      <c r="A185" s="12" t="s">
        <v>24</v>
      </c>
      <c r="B185" s="13">
        <v>18</v>
      </c>
      <c r="C185" s="13">
        <v>11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4">
        <v>29</v>
      </c>
    </row>
    <row r="186" spans="1:11" ht="12.5" x14ac:dyDescent="0.25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4"/>
    </row>
    <row r="187" spans="1:11" ht="12.5" x14ac:dyDescent="0.25">
      <c r="A187" s="12" t="s">
        <v>25</v>
      </c>
      <c r="B187" s="13">
        <v>30</v>
      </c>
      <c r="C187" s="13">
        <v>7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4">
        <v>37</v>
      </c>
    </row>
    <row r="188" spans="1:11" ht="12.5" x14ac:dyDescent="0.25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4"/>
    </row>
    <row r="189" spans="1:11" ht="12.5" x14ac:dyDescent="0.25">
      <c r="A189" s="12" t="s">
        <v>26</v>
      </c>
      <c r="B189" s="13">
        <v>29</v>
      </c>
      <c r="C189" s="13">
        <v>10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4">
        <v>39</v>
      </c>
    </row>
    <row r="190" spans="1:11" ht="12.5" x14ac:dyDescent="0.25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4"/>
    </row>
    <row r="191" spans="1:11" ht="12.5" x14ac:dyDescent="0.25">
      <c r="A191" s="12" t="s">
        <v>27</v>
      </c>
      <c r="B191" s="13">
        <v>26</v>
      </c>
      <c r="C191" s="13">
        <v>1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4">
        <v>27</v>
      </c>
    </row>
    <row r="192" spans="1:11" ht="12.5" x14ac:dyDescent="0.25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4"/>
    </row>
    <row r="193" spans="1:11" ht="12.5" x14ac:dyDescent="0.25">
      <c r="A193" s="12" t="s">
        <v>28</v>
      </c>
      <c r="B193" s="13">
        <v>33</v>
      </c>
      <c r="C193" s="13">
        <v>2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 s="14">
        <v>35</v>
      </c>
    </row>
    <row r="194" spans="1:11" ht="12.5" x14ac:dyDescent="0.25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4"/>
    </row>
    <row r="195" spans="1:11" ht="12.5" x14ac:dyDescent="0.25">
      <c r="A195" s="12" t="s">
        <v>29</v>
      </c>
      <c r="B195" s="13">
        <v>34</v>
      </c>
      <c r="C195" s="13">
        <v>3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4">
        <v>37</v>
      </c>
    </row>
    <row r="196" spans="1:11" ht="12.5" x14ac:dyDescent="0.25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4"/>
    </row>
    <row r="197" spans="1:11" ht="12.5" x14ac:dyDescent="0.25">
      <c r="A197" s="12" t="s">
        <v>30</v>
      </c>
      <c r="B197" s="13">
        <v>41</v>
      </c>
      <c r="C197" s="13">
        <v>4</v>
      </c>
      <c r="D197" s="13">
        <v>1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4">
        <v>46</v>
      </c>
    </row>
    <row r="198" spans="1:11" ht="12.5" x14ac:dyDescent="0.25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4"/>
    </row>
    <row r="199" spans="1:11" ht="12.5" x14ac:dyDescent="0.25">
      <c r="A199" s="12" t="s">
        <v>31</v>
      </c>
      <c r="B199" s="13">
        <v>29</v>
      </c>
      <c r="C199" s="13">
        <v>5</v>
      </c>
      <c r="D199" s="13">
        <v>0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4">
        <v>34</v>
      </c>
    </row>
    <row r="200" spans="1:11" ht="12.5" x14ac:dyDescent="0.25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4"/>
    </row>
    <row r="201" spans="1:11" ht="12.5" x14ac:dyDescent="0.25">
      <c r="A201" s="12" t="s">
        <v>32</v>
      </c>
      <c r="B201" s="13">
        <v>24</v>
      </c>
      <c r="C201" s="13">
        <v>6</v>
      </c>
      <c r="D201" s="13">
        <v>1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4">
        <v>31</v>
      </c>
    </row>
    <row r="202" spans="1:11" ht="12.5" x14ac:dyDescent="0.25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4"/>
    </row>
    <row r="203" spans="1:11" ht="15.75" customHeight="1" x14ac:dyDescent="0.25">
      <c r="A203" s="12" t="s">
        <v>33</v>
      </c>
      <c r="B203" s="13">
        <v>17</v>
      </c>
      <c r="C203" s="13">
        <v>4</v>
      </c>
      <c r="D203" s="13">
        <v>2</v>
      </c>
      <c r="E203" s="13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4">
        <v>23</v>
      </c>
    </row>
    <row r="204" spans="1:11" ht="15.75" customHeight="1" x14ac:dyDescent="0.25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4"/>
    </row>
    <row r="205" spans="1:11" ht="15.75" customHeight="1" x14ac:dyDescent="0.25">
      <c r="A205" s="12" t="s">
        <v>34</v>
      </c>
      <c r="B205" s="13">
        <v>46</v>
      </c>
      <c r="C205" s="13">
        <v>30</v>
      </c>
      <c r="D205" s="13">
        <v>2</v>
      </c>
      <c r="E205" s="13">
        <v>0</v>
      </c>
      <c r="F205" s="13">
        <v>0</v>
      </c>
      <c r="G205" s="13">
        <v>0</v>
      </c>
      <c r="H205" s="13">
        <v>0</v>
      </c>
      <c r="I205" s="13">
        <v>0</v>
      </c>
      <c r="J205" s="13">
        <v>0</v>
      </c>
      <c r="K205" s="14">
        <v>78</v>
      </c>
    </row>
    <row r="206" spans="1:11" ht="15.75" customHeight="1" x14ac:dyDescent="0.25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4"/>
    </row>
    <row r="207" spans="1:11" ht="15.75" customHeight="1" x14ac:dyDescent="0.25">
      <c r="A207" s="12" t="s">
        <v>35</v>
      </c>
      <c r="B207" s="13">
        <v>28</v>
      </c>
      <c r="C207" s="13">
        <v>45</v>
      </c>
      <c r="D207" s="13">
        <v>2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4">
        <v>75</v>
      </c>
    </row>
    <row r="208" spans="1:11" ht="15.75" customHeight="1" x14ac:dyDescent="0.25">
      <c r="A208" s="15"/>
      <c r="B208" s="14"/>
      <c r="C208" s="14"/>
      <c r="D208" s="14"/>
      <c r="E208" s="14"/>
      <c r="F208" s="14"/>
      <c r="G208" s="14"/>
      <c r="H208" s="14"/>
      <c r="I208" s="14"/>
      <c r="J208" s="14"/>
      <c r="K208" s="14"/>
    </row>
    <row r="209" spans="1:11" ht="15.75" customHeight="1" x14ac:dyDescent="0.25">
      <c r="A209" s="63" t="s">
        <v>21</v>
      </c>
      <c r="B209" s="63">
        <v>355</v>
      </c>
      <c r="C209" s="63">
        <v>128</v>
      </c>
      <c r="D209" s="63">
        <v>8</v>
      </c>
      <c r="E209" s="63">
        <v>0</v>
      </c>
      <c r="F209" s="63">
        <v>0</v>
      </c>
      <c r="G209" s="63">
        <v>0</v>
      </c>
      <c r="H209" s="63">
        <v>0</v>
      </c>
      <c r="I209" s="63">
        <v>0</v>
      </c>
      <c r="J209" s="63">
        <v>0</v>
      </c>
      <c r="K209" s="63">
        <v>720</v>
      </c>
    </row>
    <row r="210" spans="1:11" ht="15.75" customHeight="1" x14ac:dyDescent="0.2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</row>
    <row r="211" spans="1:11" ht="15.75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</row>
    <row r="212" spans="1:11" ht="15.75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65" t="s">
        <v>0</v>
      </c>
      <c r="B216" s="66"/>
      <c r="C216" s="66"/>
      <c r="D216" s="66"/>
      <c r="E216" s="66"/>
      <c r="F216" s="2"/>
      <c r="G216" s="2"/>
      <c r="H216" s="2"/>
      <c r="I216" s="2"/>
      <c r="J216" s="2"/>
      <c r="K216" s="2"/>
    </row>
    <row r="217" spans="1:11" ht="15.75" customHeight="1" x14ac:dyDescent="0.3">
      <c r="A217" s="65" t="s">
        <v>1</v>
      </c>
      <c r="B217" s="66"/>
      <c r="C217" s="66"/>
      <c r="D217" s="2"/>
      <c r="E217" s="2"/>
      <c r="F217" s="2"/>
      <c r="G217" s="65" t="s">
        <v>115</v>
      </c>
      <c r="H217" s="66"/>
      <c r="I217" s="66"/>
      <c r="J217" s="1"/>
      <c r="K217" s="2"/>
    </row>
    <row r="218" spans="1:11" ht="15.75" customHeight="1" x14ac:dyDescent="0.3">
      <c r="A218" s="65" t="s">
        <v>3</v>
      </c>
      <c r="B218" s="66"/>
      <c r="C218" s="66"/>
      <c r="D218" s="66"/>
      <c r="E218" s="66"/>
      <c r="F218" s="2"/>
      <c r="G218" s="65" t="s">
        <v>4</v>
      </c>
      <c r="H218" s="66"/>
      <c r="I218" s="66"/>
      <c r="J218" s="66"/>
      <c r="K218" s="2"/>
    </row>
    <row r="219" spans="1:11" ht="15.75" customHeight="1" x14ac:dyDescent="0.3">
      <c r="A219" s="65" t="s">
        <v>5</v>
      </c>
      <c r="B219" s="66"/>
      <c r="C219" s="66"/>
      <c r="D219" s="66"/>
      <c r="E219" s="66"/>
      <c r="F219" s="2"/>
      <c r="G219" s="65" t="s">
        <v>6</v>
      </c>
      <c r="H219" s="66"/>
      <c r="I219" s="66"/>
      <c r="J219" s="6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60" t="s">
        <v>7</v>
      </c>
      <c r="B221" s="61"/>
      <c r="C221" s="61"/>
      <c r="D221" s="61"/>
      <c r="E221" s="61"/>
      <c r="F221" s="61"/>
      <c r="G221" s="61"/>
      <c r="H221" s="61"/>
      <c r="I221" s="61"/>
      <c r="J221" s="61"/>
      <c r="K221" s="62"/>
    </row>
    <row r="222" spans="1:11" ht="15.75" customHeight="1" x14ac:dyDescent="0.3">
      <c r="A222" s="67" t="s">
        <v>8</v>
      </c>
      <c r="B222" s="68"/>
      <c r="C222" s="68"/>
      <c r="D222" s="68"/>
      <c r="E222" s="68"/>
      <c r="F222" s="68"/>
      <c r="G222" s="68"/>
      <c r="H222" s="68"/>
      <c r="I222" s="68"/>
      <c r="J222" s="68"/>
      <c r="K222" s="69"/>
    </row>
    <row r="223" spans="1:11" ht="15.75" customHeight="1" x14ac:dyDescent="0.3">
      <c r="A223" s="4" t="s">
        <v>9</v>
      </c>
      <c r="B223" s="5"/>
      <c r="C223" s="5"/>
      <c r="D223" s="5"/>
      <c r="E223" s="70" t="s">
        <v>10</v>
      </c>
      <c r="F223" s="71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25">
      <c r="A225" s="9" t="s">
        <v>22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1">
        <f>(K10+K53+K96+K139+K182)/5</f>
        <v>-152.4</v>
      </c>
    </row>
    <row r="226" spans="1:11" ht="15.75" customHeight="1" x14ac:dyDescent="0.25">
      <c r="A226" s="12" t="s">
        <v>23</v>
      </c>
      <c r="B226" s="13"/>
      <c r="C226" s="13"/>
      <c r="D226" s="13"/>
      <c r="E226" s="13"/>
      <c r="F226" s="13"/>
      <c r="G226" s="13"/>
      <c r="H226" s="13"/>
      <c r="I226" s="13"/>
      <c r="J226" s="13"/>
      <c r="K226" s="11"/>
    </row>
    <row r="227" spans="1:11" ht="15.75" customHeight="1" x14ac:dyDescent="0.25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1"/>
    </row>
    <row r="228" spans="1:11" ht="15.75" customHeight="1" x14ac:dyDescent="0.25">
      <c r="A228" s="12" t="s">
        <v>24</v>
      </c>
      <c r="B228" s="13">
        <f>(B13+B56+B99+B142+B185)/5</f>
        <v>16</v>
      </c>
      <c r="C228" s="13">
        <f t="shared" ref="C228:J228" si="0">(C13+C56+C99+C142+C185)/5</f>
        <v>15.6</v>
      </c>
      <c r="D228" s="13">
        <f t="shared" si="0"/>
        <v>1.8</v>
      </c>
      <c r="E228" s="13">
        <f t="shared" si="0"/>
        <v>0.6</v>
      </c>
      <c r="F228" s="13">
        <f t="shared" si="0"/>
        <v>0</v>
      </c>
      <c r="G228" s="13">
        <f t="shared" si="0"/>
        <v>0</v>
      </c>
      <c r="H228" s="13">
        <f t="shared" si="0"/>
        <v>0</v>
      </c>
      <c r="I228" s="13">
        <f t="shared" si="0"/>
        <v>0</v>
      </c>
      <c r="J228" s="13">
        <f t="shared" si="0"/>
        <v>0</v>
      </c>
      <c r="K228" s="11">
        <f t="shared" ref="K228:K250" si="1">(K13+K56+K99+K142+K185)/5</f>
        <v>34</v>
      </c>
    </row>
    <row r="229" spans="1:11" ht="15.75" customHeight="1" x14ac:dyDescent="0.25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1"/>
    </row>
    <row r="230" spans="1:11" ht="15.75" customHeight="1" x14ac:dyDescent="0.25">
      <c r="A230" s="12" t="s">
        <v>25</v>
      </c>
      <c r="B230" s="13">
        <f t="shared" ref="B230:J250" si="2">(B15+B58+B101+B144+B187)/5</f>
        <v>16.8</v>
      </c>
      <c r="C230" s="13">
        <f t="shared" si="2"/>
        <v>12.4</v>
      </c>
      <c r="D230" s="13">
        <f t="shared" si="2"/>
        <v>1</v>
      </c>
      <c r="E230" s="13">
        <f t="shared" si="2"/>
        <v>0</v>
      </c>
      <c r="F230" s="13">
        <f t="shared" si="2"/>
        <v>0</v>
      </c>
      <c r="G230" s="13">
        <f t="shared" si="2"/>
        <v>0</v>
      </c>
      <c r="H230" s="13">
        <f t="shared" si="2"/>
        <v>0</v>
      </c>
      <c r="I230" s="13">
        <f t="shared" si="2"/>
        <v>0</v>
      </c>
      <c r="J230" s="13">
        <f t="shared" si="2"/>
        <v>0</v>
      </c>
      <c r="K230" s="11">
        <f t="shared" si="1"/>
        <v>30.2</v>
      </c>
    </row>
    <row r="231" spans="1:11" ht="15.75" customHeight="1" x14ac:dyDescent="0.25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1"/>
    </row>
    <row r="232" spans="1:11" ht="15.75" customHeight="1" x14ac:dyDescent="0.25">
      <c r="A232" s="12" t="s">
        <v>26</v>
      </c>
      <c r="B232" s="13">
        <f t="shared" si="2"/>
        <v>19.8</v>
      </c>
      <c r="C232" s="13">
        <f t="shared" si="2"/>
        <v>10.199999999999999</v>
      </c>
      <c r="D232" s="13">
        <f t="shared" si="2"/>
        <v>0</v>
      </c>
      <c r="E232" s="13">
        <f t="shared" si="2"/>
        <v>0</v>
      </c>
      <c r="F232" s="13">
        <f t="shared" si="2"/>
        <v>0</v>
      </c>
      <c r="G232" s="13">
        <f t="shared" si="2"/>
        <v>0</v>
      </c>
      <c r="H232" s="13">
        <f t="shared" si="2"/>
        <v>0</v>
      </c>
      <c r="I232" s="13">
        <f t="shared" si="2"/>
        <v>0</v>
      </c>
      <c r="J232" s="13">
        <f t="shared" si="2"/>
        <v>0</v>
      </c>
      <c r="K232" s="11">
        <f t="shared" si="1"/>
        <v>30</v>
      </c>
    </row>
    <row r="233" spans="1:11" ht="15.75" customHeight="1" x14ac:dyDescent="0.25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1"/>
    </row>
    <row r="234" spans="1:11" ht="15.75" customHeight="1" x14ac:dyDescent="0.25">
      <c r="A234" s="12" t="s">
        <v>27</v>
      </c>
      <c r="B234" s="13">
        <f t="shared" si="2"/>
        <v>11</v>
      </c>
      <c r="C234" s="13">
        <f t="shared" si="2"/>
        <v>2.4</v>
      </c>
      <c r="D234" s="13">
        <f t="shared" si="2"/>
        <v>0.2</v>
      </c>
      <c r="E234" s="13">
        <f t="shared" si="2"/>
        <v>0</v>
      </c>
      <c r="F234" s="13">
        <f t="shared" si="2"/>
        <v>0</v>
      </c>
      <c r="G234" s="13">
        <f t="shared" si="2"/>
        <v>0</v>
      </c>
      <c r="H234" s="13">
        <f t="shared" si="2"/>
        <v>0</v>
      </c>
      <c r="I234" s="13">
        <f t="shared" si="2"/>
        <v>0</v>
      </c>
      <c r="J234" s="13">
        <f t="shared" si="2"/>
        <v>0</v>
      </c>
      <c r="K234" s="11">
        <f t="shared" si="1"/>
        <v>13.6</v>
      </c>
    </row>
    <row r="235" spans="1:11" ht="15.75" customHeight="1" x14ac:dyDescent="0.25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1"/>
    </row>
    <row r="236" spans="1:11" ht="15.75" customHeight="1" x14ac:dyDescent="0.25">
      <c r="A236" s="12" t="s">
        <v>28</v>
      </c>
      <c r="B236" s="13">
        <f t="shared" si="2"/>
        <v>14.8</v>
      </c>
      <c r="C236" s="13">
        <f t="shared" si="2"/>
        <v>3.4</v>
      </c>
      <c r="D236" s="13">
        <f t="shared" si="2"/>
        <v>0</v>
      </c>
      <c r="E236" s="13">
        <f t="shared" si="2"/>
        <v>0</v>
      </c>
      <c r="F236" s="13">
        <f t="shared" si="2"/>
        <v>0</v>
      </c>
      <c r="G236" s="13">
        <f t="shared" si="2"/>
        <v>0</v>
      </c>
      <c r="H236" s="13">
        <f t="shared" si="2"/>
        <v>0</v>
      </c>
      <c r="I236" s="13">
        <f t="shared" si="2"/>
        <v>0</v>
      </c>
      <c r="J236" s="13">
        <f t="shared" si="2"/>
        <v>0</v>
      </c>
      <c r="K236" s="11">
        <f t="shared" si="1"/>
        <v>18.2</v>
      </c>
    </row>
    <row r="237" spans="1:11" ht="15.75" customHeight="1" x14ac:dyDescent="0.25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1"/>
    </row>
    <row r="238" spans="1:11" ht="15.75" customHeight="1" x14ac:dyDescent="0.25">
      <c r="A238" s="12" t="s">
        <v>29</v>
      </c>
      <c r="B238" s="13">
        <f t="shared" si="2"/>
        <v>19</v>
      </c>
      <c r="C238" s="13">
        <f t="shared" si="2"/>
        <v>7.2</v>
      </c>
      <c r="D238" s="13">
        <f t="shared" si="2"/>
        <v>0.2</v>
      </c>
      <c r="E238" s="13">
        <f t="shared" si="2"/>
        <v>0.2</v>
      </c>
      <c r="F238" s="13">
        <f t="shared" si="2"/>
        <v>0</v>
      </c>
      <c r="G238" s="13">
        <f t="shared" si="2"/>
        <v>0</v>
      </c>
      <c r="H238" s="13">
        <f t="shared" si="2"/>
        <v>0</v>
      </c>
      <c r="I238" s="13">
        <f t="shared" si="2"/>
        <v>0</v>
      </c>
      <c r="J238" s="13">
        <f t="shared" si="2"/>
        <v>0</v>
      </c>
      <c r="K238" s="11">
        <f t="shared" si="1"/>
        <v>26.6</v>
      </c>
    </row>
    <row r="239" spans="1:11" ht="15.75" customHeight="1" x14ac:dyDescent="0.25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1"/>
    </row>
    <row r="240" spans="1:11" ht="15.75" customHeight="1" x14ac:dyDescent="0.25">
      <c r="A240" s="12" t="s">
        <v>30</v>
      </c>
      <c r="B240" s="13">
        <f t="shared" si="2"/>
        <v>26.4</v>
      </c>
      <c r="C240" s="13">
        <f t="shared" si="2"/>
        <v>12.6</v>
      </c>
      <c r="D240" s="13">
        <f t="shared" si="2"/>
        <v>1.2</v>
      </c>
      <c r="E240" s="13">
        <f t="shared" si="2"/>
        <v>0.2</v>
      </c>
      <c r="F240" s="13">
        <f t="shared" si="2"/>
        <v>0</v>
      </c>
      <c r="G240" s="13">
        <f t="shared" si="2"/>
        <v>0</v>
      </c>
      <c r="H240" s="13">
        <f t="shared" si="2"/>
        <v>0</v>
      </c>
      <c r="I240" s="13">
        <f t="shared" si="2"/>
        <v>0</v>
      </c>
      <c r="J240" s="13">
        <f t="shared" si="2"/>
        <v>0</v>
      </c>
      <c r="K240" s="11">
        <f t="shared" si="1"/>
        <v>40.4</v>
      </c>
    </row>
    <row r="241" spans="1:11" ht="15.75" customHeight="1" x14ac:dyDescent="0.25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1"/>
    </row>
    <row r="242" spans="1:11" ht="15.75" customHeight="1" x14ac:dyDescent="0.25">
      <c r="A242" s="12" t="s">
        <v>31</v>
      </c>
      <c r="B242" s="13">
        <f t="shared" si="2"/>
        <v>25.4</v>
      </c>
      <c r="C242" s="13">
        <f t="shared" si="2"/>
        <v>10.4</v>
      </c>
      <c r="D242" s="13">
        <f t="shared" si="2"/>
        <v>0.6</v>
      </c>
      <c r="E242" s="13">
        <f t="shared" si="2"/>
        <v>0</v>
      </c>
      <c r="F242" s="13">
        <f t="shared" si="2"/>
        <v>0</v>
      </c>
      <c r="G242" s="13">
        <f t="shared" si="2"/>
        <v>0</v>
      </c>
      <c r="H242" s="13">
        <f t="shared" si="2"/>
        <v>0</v>
      </c>
      <c r="I242" s="13">
        <f t="shared" si="2"/>
        <v>0</v>
      </c>
      <c r="J242" s="13">
        <f t="shared" si="2"/>
        <v>0</v>
      </c>
      <c r="K242" s="11">
        <f t="shared" si="1"/>
        <v>36.4</v>
      </c>
    </row>
    <row r="243" spans="1:11" ht="15.75" customHeight="1" x14ac:dyDescent="0.25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1"/>
    </row>
    <row r="244" spans="1:11" ht="15.75" customHeight="1" x14ac:dyDescent="0.25">
      <c r="A244" s="12" t="s">
        <v>32</v>
      </c>
      <c r="B244" s="13">
        <f t="shared" si="2"/>
        <v>12.6</v>
      </c>
      <c r="C244" s="13">
        <f t="shared" si="2"/>
        <v>3.4</v>
      </c>
      <c r="D244" s="13">
        <f t="shared" si="2"/>
        <v>0.6</v>
      </c>
      <c r="E244" s="13">
        <f t="shared" si="2"/>
        <v>0</v>
      </c>
      <c r="F244" s="13">
        <f t="shared" si="2"/>
        <v>0</v>
      </c>
      <c r="G244" s="13">
        <f t="shared" si="2"/>
        <v>0</v>
      </c>
      <c r="H244" s="13">
        <f t="shared" si="2"/>
        <v>0</v>
      </c>
      <c r="I244" s="13">
        <f t="shared" si="2"/>
        <v>0</v>
      </c>
      <c r="J244" s="13">
        <f t="shared" si="2"/>
        <v>0</v>
      </c>
      <c r="K244" s="11">
        <f t="shared" si="1"/>
        <v>16.600000000000001</v>
      </c>
    </row>
    <row r="245" spans="1:11" ht="15.75" customHeight="1" x14ac:dyDescent="0.25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1"/>
    </row>
    <row r="246" spans="1:11" ht="15.75" customHeight="1" x14ac:dyDescent="0.25">
      <c r="A246" s="12" t="s">
        <v>33</v>
      </c>
      <c r="B246" s="13">
        <f t="shared" si="2"/>
        <v>9.1999999999999993</v>
      </c>
      <c r="C246" s="13">
        <f t="shared" si="2"/>
        <v>5.6</v>
      </c>
      <c r="D246" s="13">
        <f t="shared" si="2"/>
        <v>1.2</v>
      </c>
      <c r="E246" s="13">
        <f t="shared" si="2"/>
        <v>0</v>
      </c>
      <c r="F246" s="13">
        <f t="shared" si="2"/>
        <v>0</v>
      </c>
      <c r="G246" s="13">
        <f t="shared" si="2"/>
        <v>0</v>
      </c>
      <c r="H246" s="13">
        <f t="shared" si="2"/>
        <v>0</v>
      </c>
      <c r="I246" s="13">
        <f t="shared" si="2"/>
        <v>0</v>
      </c>
      <c r="J246" s="13">
        <f t="shared" si="2"/>
        <v>0</v>
      </c>
      <c r="K246" s="11">
        <f t="shared" si="1"/>
        <v>16</v>
      </c>
    </row>
    <row r="247" spans="1:11" ht="15.75" customHeight="1" x14ac:dyDescent="0.25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1"/>
    </row>
    <row r="248" spans="1:11" ht="15.75" customHeight="1" x14ac:dyDescent="0.25">
      <c r="A248" s="12" t="s">
        <v>34</v>
      </c>
      <c r="B248" s="13">
        <f t="shared" si="2"/>
        <v>24.8</v>
      </c>
      <c r="C248" s="13">
        <f t="shared" si="2"/>
        <v>18.600000000000001</v>
      </c>
      <c r="D248" s="13">
        <f t="shared" si="2"/>
        <v>2.8</v>
      </c>
      <c r="E248" s="13">
        <f t="shared" si="2"/>
        <v>0</v>
      </c>
      <c r="F248" s="13">
        <f t="shared" si="2"/>
        <v>0</v>
      </c>
      <c r="G248" s="13">
        <f t="shared" si="2"/>
        <v>0</v>
      </c>
      <c r="H248" s="13">
        <f t="shared" si="2"/>
        <v>0</v>
      </c>
      <c r="I248" s="13">
        <f t="shared" si="2"/>
        <v>0</v>
      </c>
      <c r="J248" s="13">
        <f t="shared" si="2"/>
        <v>0</v>
      </c>
      <c r="K248" s="11">
        <f t="shared" si="1"/>
        <v>46.2</v>
      </c>
    </row>
    <row r="249" spans="1:11" ht="15.75" customHeight="1" x14ac:dyDescent="0.25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1"/>
    </row>
    <row r="250" spans="1:11" ht="15.75" customHeight="1" x14ac:dyDescent="0.25">
      <c r="A250" s="12" t="s">
        <v>35</v>
      </c>
      <c r="B250" s="13">
        <f t="shared" si="2"/>
        <v>29</v>
      </c>
      <c r="C250" s="13">
        <f t="shared" si="2"/>
        <v>35.6</v>
      </c>
      <c r="D250" s="13">
        <f t="shared" si="2"/>
        <v>3.6</v>
      </c>
      <c r="E250" s="13">
        <f t="shared" si="2"/>
        <v>0</v>
      </c>
      <c r="F250" s="13">
        <f t="shared" si="2"/>
        <v>0</v>
      </c>
      <c r="G250" s="13">
        <f t="shared" si="2"/>
        <v>0</v>
      </c>
      <c r="H250" s="13">
        <f t="shared" si="2"/>
        <v>0</v>
      </c>
      <c r="I250" s="13">
        <f t="shared" si="2"/>
        <v>0</v>
      </c>
      <c r="J250" s="13">
        <f t="shared" si="2"/>
        <v>0</v>
      </c>
      <c r="K250" s="11">
        <f t="shared" si="1"/>
        <v>68.2</v>
      </c>
    </row>
    <row r="251" spans="1:11" ht="15.75" customHeight="1" x14ac:dyDescent="0.25">
      <c r="A251" s="15"/>
      <c r="B251" s="14"/>
      <c r="C251" s="14"/>
      <c r="D251" s="14"/>
      <c r="E251" s="14"/>
      <c r="F251" s="14"/>
      <c r="G251" s="14"/>
      <c r="H251" s="14"/>
      <c r="I251" s="14"/>
      <c r="J251" s="14"/>
      <c r="K251" s="14"/>
    </row>
    <row r="252" spans="1:11" ht="15.75" customHeight="1" x14ac:dyDescent="0.25">
      <c r="A252" s="63" t="s">
        <v>21</v>
      </c>
      <c r="B252" s="63">
        <f>SUM(B228:B250)</f>
        <v>224.79999999999998</v>
      </c>
      <c r="C252" s="63">
        <f t="shared" ref="C252:J252" si="3">SUM(C228:C250)</f>
        <v>137.4</v>
      </c>
      <c r="D252" s="63">
        <f t="shared" si="3"/>
        <v>13.2</v>
      </c>
      <c r="E252" s="63">
        <f t="shared" si="3"/>
        <v>1</v>
      </c>
      <c r="F252" s="63">
        <f t="shared" si="3"/>
        <v>0</v>
      </c>
      <c r="G252" s="63">
        <f t="shared" si="3"/>
        <v>0</v>
      </c>
      <c r="H252" s="63">
        <f t="shared" si="3"/>
        <v>0</v>
      </c>
      <c r="I252" s="63">
        <f t="shared" si="3"/>
        <v>0</v>
      </c>
      <c r="J252" s="63">
        <f t="shared" si="3"/>
        <v>0</v>
      </c>
      <c r="K252" s="63">
        <f>SUM(K225:K251)</f>
        <v>224</v>
      </c>
    </row>
    <row r="253" spans="1:11" ht="15.75" customHeight="1" x14ac:dyDescent="0.2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</row>
  </sheetData>
  <mergeCells count="126">
    <mergeCell ref="A218:E218"/>
    <mergeCell ref="G218:J218"/>
    <mergeCell ref="A219:E219"/>
    <mergeCell ref="G219:J219"/>
    <mergeCell ref="A221:K221"/>
    <mergeCell ref="A222:K222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A50:K50"/>
    <mergeCell ref="E51:F51"/>
    <mergeCell ref="A80:A81"/>
    <mergeCell ref="B80:B81"/>
    <mergeCell ref="C80:C81"/>
    <mergeCell ref="D80:D81"/>
    <mergeCell ref="E80:E81"/>
    <mergeCell ref="A216:E216"/>
    <mergeCell ref="A217:C217"/>
    <mergeCell ref="G217:I217"/>
    <mergeCell ref="A93:K93"/>
    <mergeCell ref="E94:F94"/>
    <mergeCell ref="F80:F81"/>
    <mergeCell ref="G80:G81"/>
    <mergeCell ref="A87:E87"/>
    <mergeCell ref="A88:C88"/>
    <mergeCell ref="G88:I88"/>
    <mergeCell ref="A89:E89"/>
    <mergeCell ref="A90:E90"/>
    <mergeCell ref="J80:J81"/>
    <mergeCell ref="K80:K81"/>
    <mergeCell ref="G166:G167"/>
    <mergeCell ref="H166:H167"/>
    <mergeCell ref="G174:I174"/>
    <mergeCell ref="G175:J175"/>
    <mergeCell ref="G176:J176"/>
    <mergeCell ref="I166:I167"/>
    <mergeCell ref="J166:J167"/>
    <mergeCell ref="A135:K135"/>
    <mergeCell ref="A136:K136"/>
    <mergeCell ref="E137:F137"/>
    <mergeCell ref="A166:A167"/>
    <mergeCell ref="B166:B167"/>
    <mergeCell ref="C166:C167"/>
    <mergeCell ref="D166:D167"/>
    <mergeCell ref="K166:K167"/>
    <mergeCell ref="E166:E167"/>
    <mergeCell ref="F166:F167"/>
    <mergeCell ref="A173:E173"/>
    <mergeCell ref="A174:C174"/>
    <mergeCell ref="A175:E175"/>
    <mergeCell ref="A176:E176"/>
    <mergeCell ref="A178:K178"/>
    <mergeCell ref="F209:F210"/>
    <mergeCell ref="G209:G210"/>
    <mergeCell ref="H209:H210"/>
    <mergeCell ref="I209:I210"/>
    <mergeCell ref="J209:J210"/>
    <mergeCell ref="K209:K210"/>
    <mergeCell ref="A179:K179"/>
    <mergeCell ref="E180:F180"/>
    <mergeCell ref="A209:A210"/>
    <mergeCell ref="B209:B210"/>
    <mergeCell ref="C209:C210"/>
    <mergeCell ref="D209:D210"/>
    <mergeCell ref="E209:E210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G45:I45"/>
    <mergeCell ref="G46:J46"/>
    <mergeCell ref="G47:J47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4:E44"/>
    <mergeCell ref="A45:C45"/>
    <mergeCell ref="A46:E46"/>
    <mergeCell ref="A47:E47"/>
    <mergeCell ref="A49:K49"/>
    <mergeCell ref="H80:H81"/>
    <mergeCell ref="I80:I81"/>
    <mergeCell ref="A130:E130"/>
    <mergeCell ref="A131:C131"/>
    <mergeCell ref="G131:I131"/>
    <mergeCell ref="A132:E132"/>
    <mergeCell ref="G132:J132"/>
    <mergeCell ref="A133:E133"/>
    <mergeCell ref="G133:J133"/>
    <mergeCell ref="H123:H124"/>
    <mergeCell ref="I123:I124"/>
    <mergeCell ref="J123:J124"/>
    <mergeCell ref="K123:K124"/>
    <mergeCell ref="A123:A124"/>
    <mergeCell ref="B123:B124"/>
    <mergeCell ref="C123:C124"/>
    <mergeCell ref="D123:D124"/>
    <mergeCell ref="E123:E124"/>
    <mergeCell ref="F123:F124"/>
    <mergeCell ref="G123:G124"/>
    <mergeCell ref="G89:J89"/>
    <mergeCell ref="G90:J90"/>
    <mergeCell ref="A92:K9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253"/>
  <sheetViews>
    <sheetView topLeftCell="B189" workbookViewId="0">
      <selection activeCell="G249" sqref="G249"/>
    </sheetView>
  </sheetViews>
  <sheetFormatPr defaultColWidth="12.6328125" defaultRowHeight="15.75" customHeight="1" x14ac:dyDescent="0.25"/>
  <sheetData>
    <row r="1" spans="1:11" ht="14" x14ac:dyDescent="0.3">
      <c r="A1" s="65" t="s">
        <v>0</v>
      </c>
      <c r="B1" s="66"/>
      <c r="C1" s="66"/>
      <c r="D1" s="66"/>
      <c r="E1" s="66"/>
      <c r="F1" s="2"/>
      <c r="G1" s="2"/>
      <c r="H1" s="2"/>
      <c r="I1" s="2"/>
      <c r="J1" s="2"/>
      <c r="K1" s="2"/>
    </row>
    <row r="2" spans="1:11" ht="14" x14ac:dyDescent="0.3">
      <c r="A2" s="65" t="s">
        <v>1</v>
      </c>
      <c r="B2" s="66"/>
      <c r="C2" s="66"/>
      <c r="D2" s="2"/>
      <c r="E2" s="2"/>
      <c r="F2" s="2"/>
      <c r="G2" s="65" t="s">
        <v>54</v>
      </c>
      <c r="H2" s="66"/>
      <c r="I2" s="66"/>
      <c r="J2" s="1"/>
      <c r="K2" s="2"/>
    </row>
    <row r="3" spans="1:11" ht="14" x14ac:dyDescent="0.3">
      <c r="A3" s="65" t="s">
        <v>3</v>
      </c>
      <c r="B3" s="66"/>
      <c r="C3" s="66"/>
      <c r="D3" s="66"/>
      <c r="E3" s="66"/>
      <c r="F3" s="2"/>
      <c r="G3" s="65" t="s">
        <v>4</v>
      </c>
      <c r="H3" s="66"/>
      <c r="I3" s="66"/>
      <c r="J3" s="66"/>
      <c r="K3" s="2"/>
    </row>
    <row r="4" spans="1:11" ht="14" x14ac:dyDescent="0.3">
      <c r="A4" s="65" t="s">
        <v>5</v>
      </c>
      <c r="B4" s="66"/>
      <c r="C4" s="66"/>
      <c r="D4" s="66"/>
      <c r="E4" s="66"/>
      <c r="F4" s="2"/>
      <c r="G4" s="65" t="s">
        <v>6</v>
      </c>
      <c r="H4" s="66"/>
      <c r="I4" s="66"/>
      <c r="J4" s="6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60" t="s">
        <v>7</v>
      </c>
      <c r="B6" s="61"/>
      <c r="C6" s="61"/>
      <c r="D6" s="61"/>
      <c r="E6" s="61"/>
      <c r="F6" s="61"/>
      <c r="G6" s="61"/>
      <c r="H6" s="61"/>
      <c r="I6" s="61"/>
      <c r="J6" s="61"/>
      <c r="K6" s="62"/>
    </row>
    <row r="7" spans="1:11" ht="14" x14ac:dyDescent="0.3">
      <c r="A7" s="67" t="s">
        <v>8</v>
      </c>
      <c r="B7" s="68"/>
      <c r="C7" s="68"/>
      <c r="D7" s="68"/>
      <c r="E7" s="68"/>
      <c r="F7" s="68"/>
      <c r="G7" s="68"/>
      <c r="H7" s="68"/>
      <c r="I7" s="68"/>
      <c r="J7" s="68"/>
      <c r="K7" s="69"/>
    </row>
    <row r="8" spans="1:11" ht="14" x14ac:dyDescent="0.3">
      <c r="A8" s="4" t="s">
        <v>9</v>
      </c>
      <c r="B8" s="5"/>
      <c r="C8" s="5"/>
      <c r="D8" s="5"/>
      <c r="E8" s="70" t="s">
        <v>10</v>
      </c>
      <c r="F8" s="71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59">
        <v>-154</v>
      </c>
    </row>
    <row r="11" spans="1:11" ht="15.75" customHeight="1" x14ac:dyDescent="0.25">
      <c r="A11" s="12" t="s">
        <v>23</v>
      </c>
      <c r="B11" s="13"/>
      <c r="C11" s="13"/>
      <c r="D11" s="13"/>
      <c r="E11" s="13"/>
      <c r="F11" s="13"/>
      <c r="G11" s="13"/>
      <c r="H11" s="13"/>
      <c r="I11" s="13"/>
      <c r="J11" s="13"/>
      <c r="K11" s="14"/>
    </row>
    <row r="12" spans="1:11" ht="15.75" customHeight="1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</row>
    <row r="13" spans="1:11" ht="14" x14ac:dyDescent="0.3">
      <c r="A13" s="27" t="s">
        <v>24</v>
      </c>
      <c r="B13" s="18">
        <v>4</v>
      </c>
      <c r="C13" s="18">
        <v>1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9">
        <v>5</v>
      </c>
    </row>
    <row r="14" spans="1:11" ht="14" x14ac:dyDescent="0.3">
      <c r="A14" s="27"/>
      <c r="B14" s="18"/>
      <c r="C14" s="18"/>
      <c r="D14" s="18"/>
      <c r="E14" s="18"/>
      <c r="F14" s="18"/>
      <c r="G14" s="18"/>
      <c r="H14" s="18"/>
      <c r="I14" s="18"/>
      <c r="J14" s="18"/>
      <c r="K14" s="19"/>
    </row>
    <row r="15" spans="1:11" ht="14" x14ac:dyDescent="0.3">
      <c r="A15" s="27" t="s">
        <v>25</v>
      </c>
      <c r="B15" s="18">
        <v>4</v>
      </c>
      <c r="C15" s="18">
        <v>1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9">
        <v>5</v>
      </c>
    </row>
    <row r="16" spans="1:11" ht="14" x14ac:dyDescent="0.3">
      <c r="A16" s="27"/>
      <c r="B16" s="18"/>
      <c r="C16" s="18"/>
      <c r="D16" s="18"/>
      <c r="E16" s="18"/>
      <c r="F16" s="18"/>
      <c r="G16" s="18"/>
      <c r="H16" s="18"/>
      <c r="I16" s="18"/>
      <c r="J16" s="18"/>
      <c r="K16" s="19"/>
    </row>
    <row r="17" spans="1:11" ht="14" x14ac:dyDescent="0.3">
      <c r="A17" s="27" t="s">
        <v>26</v>
      </c>
      <c r="B17" s="18">
        <v>10</v>
      </c>
      <c r="C17" s="18">
        <v>5</v>
      </c>
      <c r="D17" s="18">
        <v>2</v>
      </c>
      <c r="E17" s="18">
        <v>1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9">
        <v>18</v>
      </c>
    </row>
    <row r="18" spans="1:11" ht="14" x14ac:dyDescent="0.3">
      <c r="A18" s="27"/>
      <c r="B18" s="18"/>
      <c r="C18" s="18"/>
      <c r="D18" s="18"/>
      <c r="E18" s="18"/>
      <c r="F18" s="18"/>
      <c r="G18" s="18"/>
      <c r="H18" s="18"/>
      <c r="I18" s="18"/>
      <c r="J18" s="18"/>
      <c r="K18" s="19"/>
    </row>
    <row r="19" spans="1:11" ht="14" x14ac:dyDescent="0.3">
      <c r="A19" s="27" t="s">
        <v>27</v>
      </c>
      <c r="B19" s="18">
        <v>7</v>
      </c>
      <c r="C19" s="18">
        <v>7</v>
      </c>
      <c r="D19" s="18">
        <v>3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9">
        <v>17</v>
      </c>
    </row>
    <row r="20" spans="1:11" ht="14" x14ac:dyDescent="0.3">
      <c r="A20" s="27"/>
      <c r="B20" s="18"/>
      <c r="C20" s="18"/>
      <c r="D20" s="18"/>
      <c r="E20" s="18"/>
      <c r="F20" s="18"/>
      <c r="G20" s="18"/>
      <c r="H20" s="18"/>
      <c r="I20" s="18"/>
      <c r="J20" s="18"/>
      <c r="K20" s="19"/>
    </row>
    <row r="21" spans="1:11" ht="14" x14ac:dyDescent="0.3">
      <c r="A21" s="27" t="s">
        <v>28</v>
      </c>
      <c r="B21" s="18">
        <v>6</v>
      </c>
      <c r="C21" s="18">
        <v>10</v>
      </c>
      <c r="D21" s="18">
        <v>1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9">
        <v>17</v>
      </c>
    </row>
    <row r="22" spans="1:11" ht="14" x14ac:dyDescent="0.3">
      <c r="A22" s="27"/>
      <c r="B22" s="18"/>
      <c r="C22" s="18"/>
      <c r="D22" s="18"/>
      <c r="E22" s="18"/>
      <c r="F22" s="18"/>
      <c r="G22" s="18"/>
      <c r="H22" s="18"/>
      <c r="I22" s="18"/>
      <c r="J22" s="18"/>
      <c r="K22" s="19"/>
    </row>
    <row r="23" spans="1:11" ht="14" x14ac:dyDescent="0.3">
      <c r="A23" s="27" t="s">
        <v>29</v>
      </c>
      <c r="B23" s="18">
        <v>25</v>
      </c>
      <c r="C23" s="18">
        <v>31</v>
      </c>
      <c r="D23" s="18">
        <v>2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9">
        <v>58</v>
      </c>
    </row>
    <row r="24" spans="1:11" ht="14" x14ac:dyDescent="0.3">
      <c r="A24" s="27"/>
      <c r="B24" s="18"/>
      <c r="C24" s="18"/>
      <c r="D24" s="18"/>
      <c r="E24" s="18"/>
      <c r="F24" s="18"/>
      <c r="G24" s="18"/>
      <c r="H24" s="18"/>
      <c r="I24" s="18"/>
      <c r="J24" s="18"/>
      <c r="K24" s="19"/>
    </row>
    <row r="25" spans="1:11" ht="14" x14ac:dyDescent="0.3">
      <c r="A25" s="27" t="s">
        <v>30</v>
      </c>
      <c r="B25" s="18">
        <v>27</v>
      </c>
      <c r="C25" s="18">
        <v>43</v>
      </c>
      <c r="D25" s="18">
        <v>2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9">
        <v>72</v>
      </c>
    </row>
    <row r="26" spans="1:11" ht="14" x14ac:dyDescent="0.3">
      <c r="A26" s="27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4" x14ac:dyDescent="0.3">
      <c r="A27" s="27" t="s">
        <v>31</v>
      </c>
      <c r="B27" s="18">
        <v>13</v>
      </c>
      <c r="C27" s="18">
        <v>23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9">
        <v>36</v>
      </c>
    </row>
    <row r="28" spans="1:11" ht="14" x14ac:dyDescent="0.3">
      <c r="A28" s="2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ht="14" x14ac:dyDescent="0.3">
      <c r="A29" s="27" t="s">
        <v>32</v>
      </c>
      <c r="B29" s="18">
        <v>3</v>
      </c>
      <c r="C29" s="18">
        <v>3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9">
        <v>6</v>
      </c>
    </row>
    <row r="30" spans="1:11" ht="14" x14ac:dyDescent="0.3">
      <c r="A30" s="2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ht="14" x14ac:dyDescent="0.3">
      <c r="A31" s="27" t="s">
        <v>33</v>
      </c>
      <c r="B31" s="18">
        <v>0</v>
      </c>
      <c r="C31" s="18">
        <v>3</v>
      </c>
      <c r="D31" s="18">
        <v>0</v>
      </c>
      <c r="E31" s="18">
        <v>1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9">
        <v>4</v>
      </c>
    </row>
    <row r="32" spans="1:11" ht="14" x14ac:dyDescent="0.3">
      <c r="A32" s="27"/>
      <c r="B32" s="18"/>
      <c r="C32" s="18"/>
      <c r="D32" s="18"/>
      <c r="E32" s="18"/>
      <c r="F32" s="18"/>
      <c r="G32" s="18"/>
      <c r="H32" s="18"/>
      <c r="I32" s="18"/>
      <c r="J32" s="18"/>
      <c r="K32" s="19"/>
    </row>
    <row r="33" spans="1:11" ht="14" x14ac:dyDescent="0.3">
      <c r="A33" s="27" t="s">
        <v>34</v>
      </c>
      <c r="B33" s="18">
        <v>2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9">
        <v>2</v>
      </c>
    </row>
    <row r="34" spans="1:11" ht="14" x14ac:dyDescent="0.3">
      <c r="A34" s="27"/>
      <c r="B34" s="18"/>
      <c r="C34" s="18"/>
      <c r="D34" s="18"/>
      <c r="E34" s="18"/>
      <c r="F34" s="18"/>
      <c r="G34" s="18"/>
      <c r="H34" s="18"/>
      <c r="I34" s="18"/>
      <c r="J34" s="18"/>
      <c r="K34" s="19"/>
    </row>
    <row r="35" spans="1:11" ht="14" x14ac:dyDescent="0.3">
      <c r="A35" s="27" t="s">
        <v>35</v>
      </c>
      <c r="B35" s="18">
        <v>8</v>
      </c>
      <c r="C35" s="18">
        <v>4</v>
      </c>
      <c r="D35" s="18">
        <v>2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9">
        <v>14</v>
      </c>
    </row>
    <row r="36" spans="1:11" ht="12.5" x14ac:dyDescent="0.25">
      <c r="A36" s="15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 ht="12.5" x14ac:dyDescent="0.25">
      <c r="A37" s="63" t="s">
        <v>21</v>
      </c>
      <c r="B37" s="63">
        <v>109</v>
      </c>
      <c r="C37" s="63">
        <v>131</v>
      </c>
      <c r="D37" s="63">
        <v>12</v>
      </c>
      <c r="E37" s="63">
        <v>2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100</v>
      </c>
    </row>
    <row r="38" spans="1:11" ht="12.5" x14ac:dyDescent="0.2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1:11" ht="12.5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1:11" ht="12.5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65" t="s">
        <v>0</v>
      </c>
      <c r="B44" s="66"/>
      <c r="C44" s="66"/>
      <c r="D44" s="66"/>
      <c r="E44" s="66"/>
      <c r="F44" s="2"/>
      <c r="G44" s="2"/>
      <c r="H44" s="2"/>
      <c r="I44" s="2"/>
      <c r="J44" s="2"/>
      <c r="K44" s="2"/>
    </row>
    <row r="45" spans="1:11" ht="14" x14ac:dyDescent="0.3">
      <c r="A45" s="65" t="s">
        <v>1</v>
      </c>
      <c r="B45" s="66"/>
      <c r="C45" s="66"/>
      <c r="D45" s="2"/>
      <c r="E45" s="2"/>
      <c r="F45" s="2"/>
      <c r="G45" s="65" t="s">
        <v>55</v>
      </c>
      <c r="H45" s="66"/>
      <c r="I45" s="66"/>
      <c r="J45" s="1"/>
      <c r="K45" s="2"/>
    </row>
    <row r="46" spans="1:11" ht="14" x14ac:dyDescent="0.3">
      <c r="A46" s="65" t="s">
        <v>3</v>
      </c>
      <c r="B46" s="66"/>
      <c r="C46" s="66"/>
      <c r="D46" s="66"/>
      <c r="E46" s="66"/>
      <c r="F46" s="2"/>
      <c r="G46" s="65" t="s">
        <v>4</v>
      </c>
      <c r="H46" s="66"/>
      <c r="I46" s="66"/>
      <c r="J46" s="66"/>
      <c r="K46" s="2"/>
    </row>
    <row r="47" spans="1:11" ht="14" x14ac:dyDescent="0.3">
      <c r="A47" s="65" t="s">
        <v>5</v>
      </c>
      <c r="B47" s="66"/>
      <c r="C47" s="66"/>
      <c r="D47" s="66"/>
      <c r="E47" s="66"/>
      <c r="F47" s="2"/>
      <c r="G47" s="65" t="s">
        <v>6</v>
      </c>
      <c r="H47" s="66"/>
      <c r="I47" s="66"/>
      <c r="J47" s="6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60" t="s">
        <v>89</v>
      </c>
      <c r="B49" s="61"/>
      <c r="C49" s="61"/>
      <c r="D49" s="61"/>
      <c r="E49" s="61"/>
      <c r="F49" s="61"/>
      <c r="G49" s="61"/>
      <c r="H49" s="61"/>
      <c r="I49" s="61"/>
      <c r="J49" s="61"/>
      <c r="K49" s="62"/>
    </row>
    <row r="50" spans="1:11" ht="14" x14ac:dyDescent="0.3">
      <c r="A50" s="67" t="s">
        <v>8</v>
      </c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" x14ac:dyDescent="0.3">
      <c r="A51" s="4" t="s">
        <v>9</v>
      </c>
      <c r="B51" s="5"/>
      <c r="C51" s="5"/>
      <c r="D51" s="5"/>
      <c r="E51" s="70" t="s">
        <v>10</v>
      </c>
      <c r="F51" s="71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2.5" x14ac:dyDescent="0.25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11">
        <v>-225</v>
      </c>
    </row>
    <row r="54" spans="1:11" ht="12.5" x14ac:dyDescent="0.25">
      <c r="A54" s="12" t="s">
        <v>23</v>
      </c>
      <c r="B54" s="13"/>
      <c r="C54" s="13"/>
      <c r="D54" s="13"/>
      <c r="E54" s="13"/>
      <c r="F54" s="13"/>
      <c r="G54" s="13"/>
      <c r="H54" s="13"/>
      <c r="I54" s="13"/>
      <c r="J54" s="13"/>
      <c r="K54" s="14"/>
    </row>
    <row r="55" spans="1:11" ht="12.5" x14ac:dyDescent="0.25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4"/>
    </row>
    <row r="56" spans="1:11" ht="12.5" x14ac:dyDescent="0.25">
      <c r="A56" s="12" t="s">
        <v>24</v>
      </c>
      <c r="B56" s="13">
        <v>6</v>
      </c>
      <c r="C56" s="13">
        <v>4</v>
      </c>
      <c r="D56" s="13">
        <v>1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4">
        <v>11</v>
      </c>
    </row>
    <row r="57" spans="1:11" ht="12.5" x14ac:dyDescent="0.25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4"/>
    </row>
    <row r="58" spans="1:11" ht="12.5" x14ac:dyDescent="0.25">
      <c r="A58" s="12" t="s">
        <v>25</v>
      </c>
      <c r="B58" s="13">
        <v>2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2</v>
      </c>
    </row>
    <row r="59" spans="1:11" ht="12.5" x14ac:dyDescent="0.25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4"/>
    </row>
    <row r="60" spans="1:11" ht="12.5" x14ac:dyDescent="0.25">
      <c r="A60" s="12" t="s">
        <v>26</v>
      </c>
      <c r="B60" s="13">
        <v>3</v>
      </c>
      <c r="C60" s="13">
        <v>5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8</v>
      </c>
    </row>
    <row r="61" spans="1:11" ht="12.5" x14ac:dyDescent="0.25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4"/>
    </row>
    <row r="62" spans="1:11" ht="12.5" x14ac:dyDescent="0.25">
      <c r="A62" s="12" t="s">
        <v>27</v>
      </c>
      <c r="B62" s="13">
        <v>7</v>
      </c>
      <c r="C62" s="13">
        <v>7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14</v>
      </c>
    </row>
    <row r="63" spans="1:11" ht="12.5" x14ac:dyDescent="0.25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4"/>
    </row>
    <row r="64" spans="1:11" ht="12.5" x14ac:dyDescent="0.25">
      <c r="A64" s="12" t="s">
        <v>28</v>
      </c>
      <c r="B64" s="13">
        <v>15</v>
      </c>
      <c r="C64" s="13">
        <v>9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24</v>
      </c>
    </row>
    <row r="65" spans="1:11" ht="12.5" x14ac:dyDescent="0.25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4"/>
    </row>
    <row r="66" spans="1:11" ht="12.5" x14ac:dyDescent="0.25">
      <c r="A66" s="12" t="s">
        <v>29</v>
      </c>
      <c r="B66" s="13">
        <v>29</v>
      </c>
      <c r="C66" s="13">
        <v>20</v>
      </c>
      <c r="D66" s="13">
        <v>1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50</v>
      </c>
    </row>
    <row r="67" spans="1:11" ht="12.5" x14ac:dyDescent="0.25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4"/>
    </row>
    <row r="68" spans="1:11" ht="12.5" x14ac:dyDescent="0.25">
      <c r="A68" s="12" t="s">
        <v>30</v>
      </c>
      <c r="B68" s="13">
        <v>34</v>
      </c>
      <c r="C68" s="13">
        <v>23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57</v>
      </c>
    </row>
    <row r="69" spans="1:11" ht="12.5" x14ac:dyDescent="0.25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4"/>
    </row>
    <row r="70" spans="1:11" ht="12.5" x14ac:dyDescent="0.25">
      <c r="A70" s="12" t="s">
        <v>31</v>
      </c>
      <c r="B70" s="13">
        <v>25</v>
      </c>
      <c r="C70" s="13">
        <v>16</v>
      </c>
      <c r="D70" s="13">
        <v>2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43</v>
      </c>
    </row>
    <row r="71" spans="1:11" ht="12.5" x14ac:dyDescent="0.25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4"/>
    </row>
    <row r="72" spans="1:11" ht="12.5" x14ac:dyDescent="0.25">
      <c r="A72" s="12" t="s">
        <v>32</v>
      </c>
      <c r="B72" s="13">
        <v>8</v>
      </c>
      <c r="C72" s="13">
        <v>4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12</v>
      </c>
    </row>
    <row r="73" spans="1:11" ht="12.5" x14ac:dyDescent="0.25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4"/>
    </row>
    <row r="74" spans="1:11" ht="12.5" x14ac:dyDescent="0.25">
      <c r="A74" s="12" t="s">
        <v>33</v>
      </c>
      <c r="B74" s="13">
        <v>5</v>
      </c>
      <c r="C74" s="13">
        <v>5</v>
      </c>
      <c r="D74" s="13">
        <v>2</v>
      </c>
      <c r="E74" s="13">
        <v>0</v>
      </c>
      <c r="F74" s="13">
        <v>1</v>
      </c>
      <c r="G74" s="13">
        <v>0</v>
      </c>
      <c r="H74" s="13">
        <v>0</v>
      </c>
      <c r="I74" s="13">
        <v>0</v>
      </c>
      <c r="J74" s="13">
        <v>0</v>
      </c>
      <c r="K74" s="14">
        <v>13</v>
      </c>
    </row>
    <row r="75" spans="1:11" ht="12.5" x14ac:dyDescent="0.25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4"/>
    </row>
    <row r="76" spans="1:11" ht="12.5" x14ac:dyDescent="0.25">
      <c r="A76" s="12" t="s">
        <v>34</v>
      </c>
      <c r="B76" s="13">
        <v>10</v>
      </c>
      <c r="C76" s="13">
        <v>26</v>
      </c>
      <c r="D76" s="13">
        <v>2</v>
      </c>
      <c r="E76" s="13">
        <v>0</v>
      </c>
      <c r="F76" s="13">
        <v>1</v>
      </c>
      <c r="G76" s="13">
        <v>0</v>
      </c>
      <c r="H76" s="13">
        <v>0</v>
      </c>
      <c r="I76" s="13">
        <v>0</v>
      </c>
      <c r="J76" s="13">
        <v>0</v>
      </c>
      <c r="K76" s="14">
        <v>39</v>
      </c>
    </row>
    <row r="77" spans="1:11" ht="12.5" x14ac:dyDescent="0.25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4"/>
    </row>
    <row r="78" spans="1:11" ht="12.5" x14ac:dyDescent="0.25">
      <c r="A78" s="12" t="s">
        <v>35</v>
      </c>
      <c r="B78" s="13">
        <v>22</v>
      </c>
      <c r="C78" s="13">
        <v>28</v>
      </c>
      <c r="D78" s="13">
        <v>2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52</v>
      </c>
    </row>
    <row r="79" spans="1:11" ht="12.5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</row>
    <row r="80" spans="1:11" ht="12.5" x14ac:dyDescent="0.25">
      <c r="A80" s="63" t="s">
        <v>21</v>
      </c>
      <c r="B80" s="63">
        <v>166</v>
      </c>
      <c r="C80" s="63">
        <v>147</v>
      </c>
      <c r="D80" s="63">
        <v>10</v>
      </c>
      <c r="E80" s="63">
        <v>0</v>
      </c>
      <c r="F80" s="63">
        <v>2</v>
      </c>
      <c r="G80" s="63">
        <v>0</v>
      </c>
      <c r="H80" s="63">
        <v>0</v>
      </c>
      <c r="I80" s="63">
        <v>0</v>
      </c>
      <c r="J80" s="63">
        <v>0</v>
      </c>
      <c r="K80" s="63">
        <v>100</v>
      </c>
    </row>
    <row r="81" spans="1:11" ht="12.5" x14ac:dyDescent="0.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</row>
    <row r="82" spans="1:11" ht="12.5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</row>
    <row r="83" spans="1:11" ht="12.5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65" t="s">
        <v>0</v>
      </c>
      <c r="B87" s="66"/>
      <c r="C87" s="66"/>
      <c r="D87" s="66"/>
      <c r="E87" s="66"/>
      <c r="F87" s="2"/>
      <c r="G87" s="2"/>
      <c r="H87" s="2"/>
      <c r="I87" s="2"/>
      <c r="J87" s="2"/>
      <c r="K87" s="2"/>
    </row>
    <row r="88" spans="1:11" ht="14" x14ac:dyDescent="0.3">
      <c r="A88" s="65" t="s">
        <v>1</v>
      </c>
      <c r="B88" s="66"/>
      <c r="C88" s="66"/>
      <c r="D88" s="2"/>
      <c r="E88" s="2"/>
      <c r="F88" s="2"/>
      <c r="G88" s="65" t="s">
        <v>56</v>
      </c>
      <c r="H88" s="66"/>
      <c r="I88" s="66"/>
      <c r="J88" s="1"/>
      <c r="K88" s="2"/>
    </row>
    <row r="89" spans="1:11" ht="14" x14ac:dyDescent="0.3">
      <c r="A89" s="65" t="s">
        <v>3</v>
      </c>
      <c r="B89" s="66"/>
      <c r="C89" s="66"/>
      <c r="D89" s="66"/>
      <c r="E89" s="66"/>
      <c r="F89" s="2"/>
      <c r="G89" s="65" t="s">
        <v>4</v>
      </c>
      <c r="H89" s="66"/>
      <c r="I89" s="66"/>
      <c r="J89" s="66"/>
      <c r="K89" s="2"/>
    </row>
    <row r="90" spans="1:11" ht="14" x14ac:dyDescent="0.3">
      <c r="A90" s="65" t="s">
        <v>5</v>
      </c>
      <c r="B90" s="66"/>
      <c r="C90" s="66"/>
      <c r="D90" s="66"/>
      <c r="E90" s="66"/>
      <c r="F90" s="2"/>
      <c r="G90" s="65" t="s">
        <v>6</v>
      </c>
      <c r="H90" s="66"/>
      <c r="I90" s="66"/>
      <c r="J90" s="6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60" t="s">
        <v>7</v>
      </c>
      <c r="B92" s="61"/>
      <c r="C92" s="61"/>
      <c r="D92" s="61"/>
      <c r="E92" s="61"/>
      <c r="F92" s="61"/>
      <c r="G92" s="61"/>
      <c r="H92" s="61"/>
      <c r="I92" s="61"/>
      <c r="J92" s="61"/>
      <c r="K92" s="62"/>
    </row>
    <row r="93" spans="1:11" ht="14" x14ac:dyDescent="0.3">
      <c r="A93" s="67" t="s">
        <v>8</v>
      </c>
      <c r="B93" s="68"/>
      <c r="C93" s="68"/>
      <c r="D93" s="68"/>
      <c r="E93" s="68"/>
      <c r="F93" s="68"/>
      <c r="G93" s="68"/>
      <c r="H93" s="68"/>
      <c r="I93" s="68"/>
      <c r="J93" s="68"/>
      <c r="K93" s="69"/>
    </row>
    <row r="94" spans="1:11" ht="14" x14ac:dyDescent="0.3">
      <c r="A94" s="4" t="s">
        <v>9</v>
      </c>
      <c r="B94" s="5"/>
      <c r="C94" s="5"/>
      <c r="D94" s="5"/>
      <c r="E94" s="70" t="s">
        <v>10</v>
      </c>
      <c r="F94" s="71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2.5" x14ac:dyDescent="0.25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11">
        <v>-359</v>
      </c>
    </row>
    <row r="97" spans="1:11" ht="12.5" x14ac:dyDescent="0.25">
      <c r="A97" s="12" t="s">
        <v>23</v>
      </c>
      <c r="B97" s="13"/>
      <c r="C97" s="13"/>
      <c r="D97" s="13"/>
      <c r="E97" s="13"/>
      <c r="F97" s="13"/>
      <c r="G97" s="13"/>
      <c r="H97" s="13"/>
      <c r="I97" s="13"/>
      <c r="J97" s="13"/>
      <c r="K97" s="14"/>
    </row>
    <row r="98" spans="1:11" ht="12.5" x14ac:dyDescent="0.25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4"/>
    </row>
    <row r="99" spans="1:11" ht="12.5" x14ac:dyDescent="0.25">
      <c r="A99" s="12" t="s">
        <v>24</v>
      </c>
      <c r="B99" s="13">
        <v>9</v>
      </c>
      <c r="C99" s="13">
        <v>4</v>
      </c>
      <c r="D99" s="13">
        <v>3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4">
        <v>16</v>
      </c>
    </row>
    <row r="100" spans="1:11" ht="12.5" x14ac:dyDescent="0.25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4"/>
    </row>
    <row r="101" spans="1:11" ht="12.5" x14ac:dyDescent="0.25">
      <c r="A101" s="12" t="s">
        <v>25</v>
      </c>
      <c r="B101" s="13">
        <v>8</v>
      </c>
      <c r="C101" s="13">
        <v>4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4">
        <v>12</v>
      </c>
    </row>
    <row r="102" spans="1:11" ht="12.5" x14ac:dyDescent="0.25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4"/>
    </row>
    <row r="103" spans="1:11" ht="12.5" x14ac:dyDescent="0.25">
      <c r="A103" s="12" t="s">
        <v>26</v>
      </c>
      <c r="B103" s="13">
        <v>23</v>
      </c>
      <c r="C103" s="13">
        <v>6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4">
        <v>29</v>
      </c>
    </row>
    <row r="104" spans="1:11" ht="12.5" x14ac:dyDescent="0.25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4"/>
    </row>
    <row r="105" spans="1:11" ht="12.5" x14ac:dyDescent="0.25">
      <c r="A105" s="12" t="s">
        <v>27</v>
      </c>
      <c r="B105" s="13">
        <v>15</v>
      </c>
      <c r="C105" s="13">
        <v>2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4">
        <v>17</v>
      </c>
    </row>
    <row r="106" spans="1:11" ht="12.5" x14ac:dyDescent="0.25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4"/>
    </row>
    <row r="107" spans="1:11" ht="12.5" x14ac:dyDescent="0.25">
      <c r="A107" s="12" t="s">
        <v>28</v>
      </c>
      <c r="B107" s="13">
        <v>36</v>
      </c>
      <c r="C107" s="13">
        <v>9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4">
        <v>45</v>
      </c>
    </row>
    <row r="108" spans="1:11" ht="12.5" x14ac:dyDescent="0.25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4"/>
    </row>
    <row r="109" spans="1:11" ht="12.5" x14ac:dyDescent="0.25">
      <c r="A109" s="12" t="s">
        <v>29</v>
      </c>
      <c r="B109" s="13">
        <v>46</v>
      </c>
      <c r="C109" s="13">
        <v>28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4">
        <v>74</v>
      </c>
    </row>
    <row r="110" spans="1:11" ht="12.5" x14ac:dyDescent="0.25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4"/>
    </row>
    <row r="111" spans="1:11" ht="12.5" x14ac:dyDescent="0.25">
      <c r="A111" s="12" t="s">
        <v>30</v>
      </c>
      <c r="B111" s="13">
        <v>48</v>
      </c>
      <c r="C111" s="13">
        <v>35</v>
      </c>
      <c r="D111" s="13">
        <v>1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4">
        <v>84</v>
      </c>
    </row>
    <row r="112" spans="1:11" ht="12.5" x14ac:dyDescent="0.25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4"/>
    </row>
    <row r="113" spans="1:11" ht="12.5" x14ac:dyDescent="0.25">
      <c r="A113" s="12" t="s">
        <v>31</v>
      </c>
      <c r="B113" s="13">
        <v>44</v>
      </c>
      <c r="C113" s="13">
        <v>25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4">
        <v>69</v>
      </c>
    </row>
    <row r="114" spans="1:11" ht="12.5" x14ac:dyDescent="0.25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4"/>
    </row>
    <row r="115" spans="1:11" ht="12.5" x14ac:dyDescent="0.25">
      <c r="A115" s="12" t="s">
        <v>32</v>
      </c>
      <c r="B115" s="13">
        <v>17</v>
      </c>
      <c r="C115" s="13">
        <v>9</v>
      </c>
      <c r="D115" s="13">
        <v>3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4">
        <v>29</v>
      </c>
    </row>
    <row r="116" spans="1:11" ht="12.5" x14ac:dyDescent="0.25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4"/>
    </row>
    <row r="117" spans="1:11" ht="12.5" x14ac:dyDescent="0.25">
      <c r="A117" s="12" t="s">
        <v>33</v>
      </c>
      <c r="B117" s="13">
        <v>9</v>
      </c>
      <c r="C117" s="13">
        <v>8</v>
      </c>
      <c r="D117" s="13">
        <v>0</v>
      </c>
      <c r="E117" s="13">
        <v>0</v>
      </c>
      <c r="F117" s="13">
        <v>1</v>
      </c>
      <c r="G117" s="13">
        <v>0</v>
      </c>
      <c r="H117" s="13">
        <v>0</v>
      </c>
      <c r="I117" s="13">
        <v>0</v>
      </c>
      <c r="J117" s="13">
        <v>0</v>
      </c>
      <c r="K117" s="14">
        <v>18</v>
      </c>
    </row>
    <row r="118" spans="1:11" ht="12.5" x14ac:dyDescent="0.25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4"/>
    </row>
    <row r="119" spans="1:11" ht="12.5" x14ac:dyDescent="0.25">
      <c r="A119" s="12" t="s">
        <v>34</v>
      </c>
      <c r="B119" s="13">
        <v>11</v>
      </c>
      <c r="C119" s="13">
        <v>14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4">
        <v>25</v>
      </c>
    </row>
    <row r="120" spans="1:11" ht="12.5" x14ac:dyDescent="0.25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4"/>
    </row>
    <row r="121" spans="1:11" ht="12.5" x14ac:dyDescent="0.25">
      <c r="A121" s="12" t="s">
        <v>35</v>
      </c>
      <c r="B121" s="13">
        <v>19</v>
      </c>
      <c r="C121" s="13">
        <v>22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4">
        <v>41</v>
      </c>
    </row>
    <row r="122" spans="1:11" ht="12.5" x14ac:dyDescent="0.25">
      <c r="A122" s="15"/>
      <c r="B122" s="14"/>
      <c r="C122" s="14"/>
      <c r="D122" s="14"/>
      <c r="E122" s="14"/>
      <c r="F122" s="14"/>
      <c r="G122" s="14"/>
      <c r="H122" s="14"/>
      <c r="I122" s="14"/>
      <c r="J122" s="14"/>
      <c r="K122" s="14"/>
    </row>
    <row r="123" spans="1:11" ht="12.5" x14ac:dyDescent="0.25">
      <c r="A123" s="63" t="s">
        <v>21</v>
      </c>
      <c r="B123" s="63">
        <v>285</v>
      </c>
      <c r="C123" s="63">
        <v>166</v>
      </c>
      <c r="D123" s="63">
        <v>7</v>
      </c>
      <c r="E123" s="63">
        <v>0</v>
      </c>
      <c r="F123" s="63">
        <v>1</v>
      </c>
      <c r="G123" s="63">
        <v>0</v>
      </c>
      <c r="H123" s="63">
        <v>0</v>
      </c>
      <c r="I123" s="63">
        <v>0</v>
      </c>
      <c r="J123" s="63">
        <v>0</v>
      </c>
      <c r="K123" s="63">
        <v>100</v>
      </c>
    </row>
    <row r="124" spans="1:11" ht="12.5" x14ac:dyDescent="0.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2.5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 spans="1:11" ht="12.5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65" t="s">
        <v>0</v>
      </c>
      <c r="B130" s="66"/>
      <c r="C130" s="66"/>
      <c r="D130" s="66"/>
      <c r="E130" s="66"/>
      <c r="F130" s="2"/>
      <c r="G130" s="2"/>
      <c r="H130" s="2"/>
      <c r="I130" s="2"/>
      <c r="J130" s="2"/>
      <c r="K130" s="2"/>
    </row>
    <row r="131" spans="1:11" ht="14" x14ac:dyDescent="0.3">
      <c r="A131" s="65" t="s">
        <v>1</v>
      </c>
      <c r="B131" s="66"/>
      <c r="C131" s="66"/>
      <c r="D131" s="2"/>
      <c r="E131" s="2"/>
      <c r="F131" s="2"/>
      <c r="G131" s="65" t="s">
        <v>57</v>
      </c>
      <c r="H131" s="66"/>
      <c r="I131" s="66"/>
      <c r="J131" s="1"/>
      <c r="K131" s="2"/>
    </row>
    <row r="132" spans="1:11" ht="14" x14ac:dyDescent="0.3">
      <c r="A132" s="65" t="s">
        <v>3</v>
      </c>
      <c r="B132" s="66"/>
      <c r="C132" s="66"/>
      <c r="D132" s="66"/>
      <c r="E132" s="66"/>
      <c r="F132" s="2"/>
      <c r="G132" s="65" t="s">
        <v>4</v>
      </c>
      <c r="H132" s="66"/>
      <c r="I132" s="66"/>
      <c r="J132" s="66"/>
      <c r="K132" s="2"/>
    </row>
    <row r="133" spans="1:11" ht="14" x14ac:dyDescent="0.3">
      <c r="A133" s="65" t="s">
        <v>5</v>
      </c>
      <c r="B133" s="66"/>
      <c r="C133" s="66"/>
      <c r="D133" s="66"/>
      <c r="E133" s="66"/>
      <c r="F133" s="2"/>
      <c r="G133" s="65" t="s">
        <v>6</v>
      </c>
      <c r="H133" s="66"/>
      <c r="I133" s="66"/>
      <c r="J133" s="6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60" t="s">
        <v>7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2"/>
    </row>
    <row r="136" spans="1:11" ht="14" x14ac:dyDescent="0.3">
      <c r="A136" s="67" t="s">
        <v>8</v>
      </c>
      <c r="B136" s="68"/>
      <c r="C136" s="68"/>
      <c r="D136" s="68"/>
      <c r="E136" s="68"/>
      <c r="F136" s="68"/>
      <c r="G136" s="68"/>
      <c r="H136" s="68"/>
      <c r="I136" s="68"/>
      <c r="J136" s="68"/>
      <c r="K136" s="69"/>
    </row>
    <row r="137" spans="1:11" ht="14" x14ac:dyDescent="0.3">
      <c r="A137" s="4" t="s">
        <v>9</v>
      </c>
      <c r="B137" s="5"/>
      <c r="C137" s="5"/>
      <c r="D137" s="5"/>
      <c r="E137" s="70" t="s">
        <v>10</v>
      </c>
      <c r="F137" s="71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2.5" x14ac:dyDescent="0.25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1">
        <v>-223</v>
      </c>
    </row>
    <row r="140" spans="1:11" ht="12.5" x14ac:dyDescent="0.25">
      <c r="A140" s="12" t="s">
        <v>23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4"/>
    </row>
    <row r="141" spans="1:11" ht="12.5" x14ac:dyDescent="0.25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4"/>
    </row>
    <row r="142" spans="1:11" ht="12.5" x14ac:dyDescent="0.25">
      <c r="A142" s="12" t="s">
        <v>24</v>
      </c>
      <c r="B142" s="13">
        <v>6</v>
      </c>
      <c r="C142" s="13">
        <v>4</v>
      </c>
      <c r="D142" s="13">
        <v>1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4">
        <v>11</v>
      </c>
    </row>
    <row r="143" spans="1:11" ht="12.5" x14ac:dyDescent="0.25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4"/>
    </row>
    <row r="144" spans="1:11" ht="12.5" x14ac:dyDescent="0.25">
      <c r="A144" s="12" t="s">
        <v>25</v>
      </c>
      <c r="B144" s="13">
        <v>2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2</v>
      </c>
    </row>
    <row r="145" spans="1:11" ht="12.5" x14ac:dyDescent="0.25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4"/>
    </row>
    <row r="146" spans="1:11" ht="12.5" x14ac:dyDescent="0.25">
      <c r="A146" s="12" t="s">
        <v>26</v>
      </c>
      <c r="B146" s="13">
        <v>3</v>
      </c>
      <c r="C146" s="13">
        <v>5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8</v>
      </c>
    </row>
    <row r="147" spans="1:11" ht="12.5" x14ac:dyDescent="0.25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4"/>
    </row>
    <row r="148" spans="1:11" ht="12.5" x14ac:dyDescent="0.25">
      <c r="A148" s="12" t="s">
        <v>27</v>
      </c>
      <c r="B148" s="13">
        <v>7</v>
      </c>
      <c r="C148" s="13">
        <v>7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14</v>
      </c>
    </row>
    <row r="149" spans="1:11" ht="12.5" x14ac:dyDescent="0.25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4"/>
    </row>
    <row r="150" spans="1:11" ht="12.5" x14ac:dyDescent="0.25">
      <c r="A150" s="12" t="s">
        <v>28</v>
      </c>
      <c r="B150" s="13">
        <v>15</v>
      </c>
      <c r="C150" s="13">
        <v>9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24</v>
      </c>
    </row>
    <row r="151" spans="1:11" ht="12.5" x14ac:dyDescent="0.25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4"/>
    </row>
    <row r="152" spans="1:11" ht="12.5" x14ac:dyDescent="0.25">
      <c r="A152" s="12" t="s">
        <v>29</v>
      </c>
      <c r="B152" s="13">
        <v>29</v>
      </c>
      <c r="C152" s="13">
        <v>20</v>
      </c>
      <c r="D152" s="13">
        <v>1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50</v>
      </c>
    </row>
    <row r="153" spans="1:11" ht="12.5" x14ac:dyDescent="0.25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4"/>
    </row>
    <row r="154" spans="1:11" ht="12.5" x14ac:dyDescent="0.25">
      <c r="A154" s="12" t="s">
        <v>30</v>
      </c>
      <c r="B154" s="13">
        <v>34</v>
      </c>
      <c r="C154" s="13">
        <v>23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57</v>
      </c>
    </row>
    <row r="155" spans="1:11" ht="12.5" x14ac:dyDescent="0.25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4"/>
    </row>
    <row r="156" spans="1:11" ht="12.5" x14ac:dyDescent="0.25">
      <c r="A156" s="12" t="s">
        <v>31</v>
      </c>
      <c r="B156" s="13">
        <v>25</v>
      </c>
      <c r="C156" s="13">
        <v>16</v>
      </c>
      <c r="D156" s="13">
        <v>2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43</v>
      </c>
    </row>
    <row r="157" spans="1:11" ht="12.5" x14ac:dyDescent="0.25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4"/>
    </row>
    <row r="158" spans="1:11" ht="12.5" x14ac:dyDescent="0.25">
      <c r="A158" s="12" t="s">
        <v>32</v>
      </c>
      <c r="B158" s="13">
        <v>8</v>
      </c>
      <c r="C158" s="13">
        <v>4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4">
        <v>12</v>
      </c>
    </row>
    <row r="159" spans="1:11" ht="12.5" x14ac:dyDescent="0.25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4"/>
    </row>
    <row r="160" spans="1:11" ht="12.5" x14ac:dyDescent="0.25">
      <c r="A160" s="12" t="s">
        <v>33</v>
      </c>
      <c r="B160" s="13">
        <v>5</v>
      </c>
      <c r="C160" s="13">
        <v>5</v>
      </c>
      <c r="D160" s="13">
        <v>2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12</v>
      </c>
    </row>
    <row r="161" spans="1:11" ht="12.5" x14ac:dyDescent="0.25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4"/>
    </row>
    <row r="162" spans="1:11" ht="12.5" x14ac:dyDescent="0.25">
      <c r="A162" s="12" t="s">
        <v>34</v>
      </c>
      <c r="B162" s="13">
        <v>10</v>
      </c>
      <c r="C162" s="13">
        <v>26</v>
      </c>
      <c r="D162" s="13">
        <v>2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38</v>
      </c>
    </row>
    <row r="163" spans="1:11" ht="12.5" x14ac:dyDescent="0.25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4"/>
    </row>
    <row r="164" spans="1:11" ht="12.5" x14ac:dyDescent="0.25">
      <c r="A164" s="12" t="s">
        <v>35</v>
      </c>
      <c r="B164" s="13">
        <v>22</v>
      </c>
      <c r="C164" s="13">
        <v>28</v>
      </c>
      <c r="D164" s="13">
        <v>2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52</v>
      </c>
    </row>
    <row r="165" spans="1:11" ht="12.5" x14ac:dyDescent="0.25">
      <c r="A165" s="15"/>
      <c r="B165" s="14"/>
      <c r="C165" s="14"/>
      <c r="D165" s="14"/>
      <c r="E165" s="14"/>
      <c r="F165" s="14"/>
      <c r="G165" s="14"/>
      <c r="H165" s="14"/>
      <c r="I165" s="14"/>
      <c r="J165" s="14"/>
      <c r="K165" s="14"/>
    </row>
    <row r="166" spans="1:11" ht="12.5" x14ac:dyDescent="0.25">
      <c r="A166" s="63" t="s">
        <v>21</v>
      </c>
      <c r="B166" s="63">
        <v>166</v>
      </c>
      <c r="C166" s="63">
        <v>147</v>
      </c>
      <c r="D166" s="63">
        <v>10</v>
      </c>
      <c r="E166" s="63">
        <v>0</v>
      </c>
      <c r="F166" s="63">
        <v>0</v>
      </c>
      <c r="G166" s="63">
        <v>0</v>
      </c>
      <c r="H166" s="63">
        <v>0</v>
      </c>
      <c r="I166" s="63">
        <v>0</v>
      </c>
      <c r="J166" s="63">
        <v>0</v>
      </c>
      <c r="K166" s="63">
        <v>100</v>
      </c>
    </row>
    <row r="167" spans="1:11" ht="12.5" x14ac:dyDescent="0.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</row>
    <row r="168" spans="1:11" ht="12.5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 spans="1:11" ht="12.5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65" t="s">
        <v>0</v>
      </c>
      <c r="B173" s="66"/>
      <c r="C173" s="66"/>
      <c r="D173" s="66"/>
      <c r="E173" s="66"/>
      <c r="F173" s="2"/>
      <c r="G173" s="2"/>
      <c r="H173" s="2"/>
      <c r="I173" s="2"/>
      <c r="J173" s="2"/>
      <c r="K173" s="2"/>
    </row>
    <row r="174" spans="1:11" ht="14" x14ac:dyDescent="0.3">
      <c r="A174" s="65" t="s">
        <v>1</v>
      </c>
      <c r="B174" s="66"/>
      <c r="C174" s="66"/>
      <c r="D174" s="2"/>
      <c r="E174" s="2"/>
      <c r="F174" s="2"/>
      <c r="G174" s="65" t="s">
        <v>116</v>
      </c>
      <c r="H174" s="66"/>
      <c r="I174" s="66"/>
      <c r="J174" s="1"/>
      <c r="K174" s="2"/>
    </row>
    <row r="175" spans="1:11" ht="14" x14ac:dyDescent="0.3">
      <c r="A175" s="65" t="s">
        <v>39</v>
      </c>
      <c r="B175" s="66"/>
      <c r="C175" s="66"/>
      <c r="D175" s="66"/>
      <c r="E175" s="66"/>
      <c r="F175" s="2"/>
      <c r="G175" s="65" t="s">
        <v>4</v>
      </c>
      <c r="H175" s="66"/>
      <c r="I175" s="66"/>
      <c r="J175" s="66"/>
      <c r="K175" s="2"/>
    </row>
    <row r="176" spans="1:11" ht="14" x14ac:dyDescent="0.3">
      <c r="A176" s="65" t="s">
        <v>5</v>
      </c>
      <c r="B176" s="66"/>
      <c r="C176" s="66"/>
      <c r="D176" s="66"/>
      <c r="E176" s="66"/>
      <c r="F176" s="2"/>
      <c r="G176" s="65" t="s">
        <v>6</v>
      </c>
      <c r="H176" s="66"/>
      <c r="I176" s="66"/>
      <c r="J176" s="6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60" t="s">
        <v>7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2"/>
    </row>
    <row r="179" spans="1:11" ht="14" x14ac:dyDescent="0.3">
      <c r="A179" s="67" t="s">
        <v>8</v>
      </c>
      <c r="B179" s="68"/>
      <c r="C179" s="68"/>
      <c r="D179" s="68"/>
      <c r="E179" s="68"/>
      <c r="F179" s="68"/>
      <c r="G179" s="68"/>
      <c r="H179" s="68"/>
      <c r="I179" s="68"/>
      <c r="J179" s="68"/>
      <c r="K179" s="69"/>
    </row>
    <row r="180" spans="1:11" ht="14" x14ac:dyDescent="0.3">
      <c r="A180" s="4" t="s">
        <v>9</v>
      </c>
      <c r="B180" s="5"/>
      <c r="C180" s="5"/>
      <c r="D180" s="5"/>
      <c r="E180" s="70" t="s">
        <v>10</v>
      </c>
      <c r="F180" s="71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4" x14ac:dyDescent="0.3">
      <c r="A182" s="25" t="s">
        <v>22</v>
      </c>
      <c r="B182" s="28"/>
      <c r="C182" s="28"/>
      <c r="D182" s="28"/>
      <c r="E182" s="28"/>
      <c r="F182" s="28"/>
      <c r="G182" s="28"/>
      <c r="H182" s="28"/>
      <c r="I182" s="28"/>
      <c r="J182" s="28"/>
      <c r="K182" s="59">
        <v>258</v>
      </c>
    </row>
    <row r="183" spans="1:11" ht="14" x14ac:dyDescent="0.3">
      <c r="A183" s="27" t="s">
        <v>23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19"/>
    </row>
    <row r="184" spans="1:11" ht="14" x14ac:dyDescent="0.3">
      <c r="A184" s="27"/>
      <c r="B184" s="18"/>
      <c r="C184" s="18"/>
      <c r="D184" s="18"/>
      <c r="E184" s="18"/>
      <c r="F184" s="18"/>
      <c r="G184" s="18"/>
      <c r="H184" s="18"/>
      <c r="I184" s="18"/>
      <c r="J184" s="18"/>
      <c r="K184" s="19"/>
    </row>
    <row r="185" spans="1:11" ht="14" x14ac:dyDescent="0.3">
      <c r="A185" s="27" t="s">
        <v>24</v>
      </c>
      <c r="B185" s="18">
        <v>12</v>
      </c>
      <c r="C185" s="18">
        <v>5</v>
      </c>
      <c r="D185" s="18">
        <v>1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8">
        <v>0</v>
      </c>
      <c r="K185" s="19">
        <v>18</v>
      </c>
    </row>
    <row r="186" spans="1:11" ht="14" x14ac:dyDescent="0.3">
      <c r="A186" s="27"/>
      <c r="B186" s="18"/>
      <c r="C186" s="18"/>
      <c r="D186" s="18"/>
      <c r="E186" s="18"/>
      <c r="F186" s="18"/>
      <c r="G186" s="18"/>
      <c r="H186" s="18"/>
      <c r="I186" s="18"/>
      <c r="J186" s="18"/>
      <c r="K186" s="19"/>
    </row>
    <row r="187" spans="1:11" ht="14" x14ac:dyDescent="0.3">
      <c r="A187" s="27" t="s">
        <v>25</v>
      </c>
      <c r="B187" s="18">
        <v>17</v>
      </c>
      <c r="C187" s="18">
        <v>2</v>
      </c>
      <c r="D187" s="18">
        <v>0</v>
      </c>
      <c r="E187" s="18">
        <v>0</v>
      </c>
      <c r="F187" s="18">
        <v>0</v>
      </c>
      <c r="G187" s="18">
        <v>0</v>
      </c>
      <c r="H187" s="18">
        <v>0</v>
      </c>
      <c r="I187" s="18">
        <v>0</v>
      </c>
      <c r="J187" s="18">
        <v>0</v>
      </c>
      <c r="K187" s="19">
        <v>19</v>
      </c>
    </row>
    <row r="188" spans="1:11" ht="14" x14ac:dyDescent="0.3">
      <c r="A188" s="27"/>
      <c r="B188" s="18"/>
      <c r="C188" s="18"/>
      <c r="D188" s="18"/>
      <c r="E188" s="18"/>
      <c r="F188" s="18"/>
      <c r="G188" s="18"/>
      <c r="H188" s="18"/>
      <c r="I188" s="18"/>
      <c r="J188" s="18"/>
      <c r="K188" s="19"/>
    </row>
    <row r="189" spans="1:11" ht="14" x14ac:dyDescent="0.3">
      <c r="A189" s="27" t="s">
        <v>26</v>
      </c>
      <c r="B189" s="18">
        <v>29</v>
      </c>
      <c r="C189" s="18">
        <v>4</v>
      </c>
      <c r="D189" s="18">
        <v>0</v>
      </c>
      <c r="E189" s="18">
        <v>1</v>
      </c>
      <c r="F189" s="18">
        <v>0</v>
      </c>
      <c r="G189" s="18">
        <v>0</v>
      </c>
      <c r="H189" s="18">
        <v>0</v>
      </c>
      <c r="I189" s="18">
        <v>0</v>
      </c>
      <c r="J189" s="18">
        <v>0</v>
      </c>
      <c r="K189" s="19">
        <v>34</v>
      </c>
    </row>
    <row r="190" spans="1:11" ht="14" x14ac:dyDescent="0.3">
      <c r="A190" s="27"/>
      <c r="B190" s="18"/>
      <c r="C190" s="18"/>
      <c r="D190" s="18"/>
      <c r="E190" s="18"/>
      <c r="F190" s="18"/>
      <c r="G190" s="18"/>
      <c r="H190" s="18"/>
      <c r="I190" s="18"/>
      <c r="J190" s="18"/>
      <c r="K190" s="19"/>
    </row>
    <row r="191" spans="1:11" ht="14" x14ac:dyDescent="0.3">
      <c r="A191" s="27" t="s">
        <v>27</v>
      </c>
      <c r="B191" s="18">
        <v>34</v>
      </c>
      <c r="C191" s="18">
        <v>1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8">
        <v>0</v>
      </c>
      <c r="K191" s="19">
        <v>35</v>
      </c>
    </row>
    <row r="192" spans="1:11" ht="14" x14ac:dyDescent="0.3">
      <c r="A192" s="27"/>
      <c r="B192" s="18"/>
      <c r="C192" s="18"/>
      <c r="D192" s="18"/>
      <c r="E192" s="18"/>
      <c r="F192" s="18"/>
      <c r="G192" s="18"/>
      <c r="H192" s="18"/>
      <c r="I192" s="18"/>
      <c r="J192" s="18"/>
      <c r="K192" s="19"/>
    </row>
    <row r="193" spans="1:11" ht="14" x14ac:dyDescent="0.3">
      <c r="A193" s="27" t="s">
        <v>28</v>
      </c>
      <c r="B193" s="18">
        <v>33</v>
      </c>
      <c r="C193" s="18">
        <v>2</v>
      </c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0</v>
      </c>
      <c r="J193" s="18">
        <v>0</v>
      </c>
      <c r="K193" s="19">
        <v>35</v>
      </c>
    </row>
    <row r="194" spans="1:11" ht="14" x14ac:dyDescent="0.3">
      <c r="A194" s="27"/>
      <c r="B194" s="18"/>
      <c r="C194" s="18"/>
      <c r="D194" s="18"/>
      <c r="E194" s="18"/>
      <c r="F194" s="18"/>
      <c r="G194" s="18"/>
      <c r="H194" s="18"/>
      <c r="I194" s="18"/>
      <c r="J194" s="18"/>
      <c r="K194" s="19"/>
    </row>
    <row r="195" spans="1:11" ht="14" x14ac:dyDescent="0.3">
      <c r="A195" s="27" t="s">
        <v>29</v>
      </c>
      <c r="B195" s="18">
        <v>54</v>
      </c>
      <c r="C195" s="18">
        <v>12</v>
      </c>
      <c r="D195" s="18">
        <v>0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8">
        <v>0</v>
      </c>
      <c r="K195" s="19">
        <v>66</v>
      </c>
    </row>
    <row r="196" spans="1:11" ht="14" x14ac:dyDescent="0.3">
      <c r="A196" s="27"/>
      <c r="B196" s="18"/>
      <c r="C196" s="18"/>
      <c r="D196" s="18"/>
      <c r="E196" s="18"/>
      <c r="F196" s="18"/>
      <c r="G196" s="18"/>
      <c r="H196" s="18"/>
      <c r="I196" s="18"/>
      <c r="J196" s="18"/>
      <c r="K196" s="19"/>
    </row>
    <row r="197" spans="1:11" ht="14" x14ac:dyDescent="0.3">
      <c r="A197" s="27" t="s">
        <v>30</v>
      </c>
      <c r="B197" s="18">
        <v>48</v>
      </c>
      <c r="C197" s="18">
        <v>16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8">
        <v>0</v>
      </c>
      <c r="K197" s="19">
        <v>64</v>
      </c>
    </row>
    <row r="198" spans="1:11" ht="14" x14ac:dyDescent="0.3">
      <c r="A198" s="27"/>
      <c r="B198" s="18"/>
      <c r="C198" s="18"/>
      <c r="D198" s="18"/>
      <c r="E198" s="18"/>
      <c r="F198" s="18"/>
      <c r="G198" s="18"/>
      <c r="H198" s="18"/>
      <c r="I198" s="18"/>
      <c r="J198" s="18"/>
      <c r="K198" s="19"/>
    </row>
    <row r="199" spans="1:11" ht="14" x14ac:dyDescent="0.3">
      <c r="A199" s="27" t="s">
        <v>31</v>
      </c>
      <c r="B199" s="18">
        <v>38</v>
      </c>
      <c r="C199" s="18">
        <v>7</v>
      </c>
      <c r="D199" s="18">
        <v>1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8">
        <v>0</v>
      </c>
      <c r="K199" s="19">
        <v>46</v>
      </c>
    </row>
    <row r="200" spans="1:11" ht="14" x14ac:dyDescent="0.3">
      <c r="A200" s="27"/>
      <c r="B200" s="18"/>
      <c r="C200" s="18"/>
      <c r="D200" s="18"/>
      <c r="E200" s="18"/>
      <c r="F200" s="18"/>
      <c r="G200" s="18"/>
      <c r="H200" s="18"/>
      <c r="I200" s="18"/>
      <c r="J200" s="18"/>
      <c r="K200" s="19"/>
    </row>
    <row r="201" spans="1:11" ht="14" x14ac:dyDescent="0.3">
      <c r="A201" s="27" t="s">
        <v>32</v>
      </c>
      <c r="B201" s="18">
        <v>24</v>
      </c>
      <c r="C201" s="18">
        <v>4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8">
        <v>0</v>
      </c>
      <c r="K201" s="19">
        <v>28</v>
      </c>
    </row>
    <row r="202" spans="1:11" ht="14" x14ac:dyDescent="0.3">
      <c r="A202" s="27"/>
      <c r="B202" s="18"/>
      <c r="C202" s="18"/>
      <c r="D202" s="18"/>
      <c r="E202" s="18"/>
      <c r="F202" s="18"/>
      <c r="G202" s="18"/>
      <c r="H202" s="18"/>
      <c r="I202" s="18"/>
      <c r="J202" s="18"/>
      <c r="K202" s="19"/>
    </row>
    <row r="203" spans="1:11" ht="15.75" customHeight="1" x14ac:dyDescent="0.3">
      <c r="A203" s="27" t="s">
        <v>33</v>
      </c>
      <c r="B203" s="18">
        <v>27</v>
      </c>
      <c r="C203" s="18">
        <v>3</v>
      </c>
      <c r="D203" s="18">
        <v>0</v>
      </c>
      <c r="E203" s="18">
        <v>0</v>
      </c>
      <c r="F203" s="18">
        <v>0</v>
      </c>
      <c r="G203" s="18">
        <v>0</v>
      </c>
      <c r="H203" s="18">
        <v>0</v>
      </c>
      <c r="I203" s="18">
        <v>0</v>
      </c>
      <c r="J203" s="18">
        <v>0</v>
      </c>
      <c r="K203" s="19">
        <v>30</v>
      </c>
    </row>
    <row r="204" spans="1:11" ht="15.75" customHeight="1" x14ac:dyDescent="0.3">
      <c r="A204" s="27"/>
      <c r="B204" s="18"/>
      <c r="C204" s="18"/>
      <c r="D204" s="18"/>
      <c r="E204" s="18"/>
      <c r="F204" s="18"/>
      <c r="G204" s="18"/>
      <c r="H204" s="18"/>
      <c r="I204" s="18"/>
      <c r="J204" s="18"/>
      <c r="K204" s="19"/>
    </row>
    <row r="205" spans="1:11" ht="15.75" customHeight="1" x14ac:dyDescent="0.3">
      <c r="A205" s="27" t="s">
        <v>34</v>
      </c>
      <c r="B205" s="18">
        <v>35</v>
      </c>
      <c r="C205" s="18">
        <v>26</v>
      </c>
      <c r="D205" s="18">
        <v>1</v>
      </c>
      <c r="E205" s="18">
        <v>0</v>
      </c>
      <c r="F205" s="18">
        <v>0</v>
      </c>
      <c r="G205" s="18">
        <v>0</v>
      </c>
      <c r="H205" s="18">
        <v>0</v>
      </c>
      <c r="I205" s="18">
        <v>0</v>
      </c>
      <c r="J205" s="18">
        <v>0</v>
      </c>
      <c r="K205" s="19">
        <v>62</v>
      </c>
    </row>
    <row r="206" spans="1:11" ht="15.75" customHeight="1" x14ac:dyDescent="0.3">
      <c r="A206" s="27"/>
      <c r="B206" s="18"/>
      <c r="C206" s="18"/>
      <c r="D206" s="18"/>
      <c r="E206" s="18"/>
      <c r="F206" s="18"/>
      <c r="G206" s="18"/>
      <c r="H206" s="18"/>
      <c r="I206" s="18"/>
      <c r="J206" s="18"/>
      <c r="K206" s="19"/>
    </row>
    <row r="207" spans="1:11" ht="15.75" customHeight="1" x14ac:dyDescent="0.3">
      <c r="A207" s="27" t="s">
        <v>35</v>
      </c>
      <c r="B207" s="18">
        <v>23</v>
      </c>
      <c r="C207" s="18">
        <v>25</v>
      </c>
      <c r="D207" s="18">
        <v>0</v>
      </c>
      <c r="E207" s="18">
        <v>1</v>
      </c>
      <c r="F207" s="18">
        <v>0</v>
      </c>
      <c r="G207" s="18">
        <v>0</v>
      </c>
      <c r="H207" s="18">
        <v>0</v>
      </c>
      <c r="I207" s="18">
        <v>0</v>
      </c>
      <c r="J207" s="18">
        <v>0</v>
      </c>
      <c r="K207" s="19">
        <v>49</v>
      </c>
    </row>
    <row r="208" spans="1:11" ht="15.75" customHeight="1" x14ac:dyDescent="0.3">
      <c r="A208" s="29"/>
      <c r="B208" s="19"/>
      <c r="C208" s="19"/>
      <c r="D208" s="19"/>
      <c r="E208" s="19"/>
      <c r="F208" s="19"/>
      <c r="G208" s="19"/>
      <c r="H208" s="19"/>
      <c r="I208" s="19"/>
      <c r="J208" s="19"/>
      <c r="K208" s="19"/>
    </row>
    <row r="209" spans="1:11" ht="15.75" customHeight="1" x14ac:dyDescent="0.25">
      <c r="A209" s="63" t="s">
        <v>21</v>
      </c>
      <c r="B209" s="63">
        <v>374</v>
      </c>
      <c r="C209" s="63">
        <v>107</v>
      </c>
      <c r="D209" s="63">
        <v>3</v>
      </c>
      <c r="E209" s="63">
        <v>2</v>
      </c>
      <c r="F209" s="63">
        <v>0</v>
      </c>
      <c r="G209" s="63">
        <v>0</v>
      </c>
      <c r="H209" s="63">
        <v>0</v>
      </c>
      <c r="I209" s="63">
        <v>0</v>
      </c>
      <c r="J209" s="63">
        <v>0</v>
      </c>
      <c r="K209" s="63">
        <v>744</v>
      </c>
    </row>
    <row r="210" spans="1:11" ht="15.75" customHeight="1" x14ac:dyDescent="0.2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</row>
    <row r="211" spans="1:11" ht="15.75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</row>
    <row r="212" spans="1:11" ht="15.75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65" t="s">
        <v>0</v>
      </c>
      <c r="B216" s="66"/>
      <c r="C216" s="66"/>
      <c r="D216" s="66"/>
      <c r="E216" s="66"/>
      <c r="F216" s="2"/>
      <c r="G216" s="2"/>
      <c r="H216" s="2"/>
      <c r="I216" s="2"/>
      <c r="J216" s="2"/>
      <c r="K216" s="2"/>
    </row>
    <row r="217" spans="1:11" ht="15.75" customHeight="1" x14ac:dyDescent="0.3">
      <c r="A217" s="65" t="s">
        <v>1</v>
      </c>
      <c r="B217" s="66"/>
      <c r="C217" s="66"/>
      <c r="D217" s="2"/>
      <c r="E217" s="2"/>
      <c r="F217" s="2"/>
      <c r="G217" s="65" t="s">
        <v>130</v>
      </c>
      <c r="H217" s="66"/>
      <c r="I217" s="66"/>
      <c r="J217" s="1"/>
      <c r="K217" s="2"/>
    </row>
    <row r="218" spans="1:11" ht="15.75" customHeight="1" x14ac:dyDescent="0.3">
      <c r="A218" s="65" t="s">
        <v>39</v>
      </c>
      <c r="B218" s="66"/>
      <c r="C218" s="66"/>
      <c r="D218" s="66"/>
      <c r="E218" s="66"/>
      <c r="F218" s="2"/>
      <c r="G218" s="65" t="s">
        <v>4</v>
      </c>
      <c r="H218" s="66"/>
      <c r="I218" s="66"/>
      <c r="J218" s="66"/>
      <c r="K218" s="2"/>
    </row>
    <row r="219" spans="1:11" ht="15.75" customHeight="1" x14ac:dyDescent="0.3">
      <c r="A219" s="65" t="s">
        <v>5</v>
      </c>
      <c r="B219" s="66"/>
      <c r="C219" s="66"/>
      <c r="D219" s="66"/>
      <c r="E219" s="66"/>
      <c r="F219" s="2"/>
      <c r="G219" s="65" t="s">
        <v>6</v>
      </c>
      <c r="H219" s="66"/>
      <c r="I219" s="66"/>
      <c r="J219" s="6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60" t="s">
        <v>7</v>
      </c>
      <c r="B221" s="61"/>
      <c r="C221" s="61"/>
      <c r="D221" s="61"/>
      <c r="E221" s="61"/>
      <c r="F221" s="61"/>
      <c r="G221" s="61"/>
      <c r="H221" s="61"/>
      <c r="I221" s="61"/>
      <c r="J221" s="61"/>
      <c r="K221" s="62"/>
    </row>
    <row r="222" spans="1:11" ht="15.75" customHeight="1" x14ac:dyDescent="0.3">
      <c r="A222" s="67" t="s">
        <v>8</v>
      </c>
      <c r="B222" s="68"/>
      <c r="C222" s="68"/>
      <c r="D222" s="68"/>
      <c r="E222" s="68"/>
      <c r="F222" s="68"/>
      <c r="G222" s="68"/>
      <c r="H222" s="68"/>
      <c r="I222" s="68"/>
      <c r="J222" s="68"/>
      <c r="K222" s="69"/>
    </row>
    <row r="223" spans="1:11" ht="15.75" customHeight="1" x14ac:dyDescent="0.3">
      <c r="A223" s="4" t="s">
        <v>9</v>
      </c>
      <c r="B223" s="5"/>
      <c r="C223" s="5"/>
      <c r="D223" s="5"/>
      <c r="E223" s="70" t="s">
        <v>10</v>
      </c>
      <c r="F223" s="71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3">
      <c r="A225" s="25" t="s">
        <v>22</v>
      </c>
      <c r="B225" s="28"/>
      <c r="C225" s="28"/>
      <c r="D225" s="28"/>
      <c r="E225" s="28"/>
      <c r="F225" s="28"/>
      <c r="G225" s="28"/>
      <c r="H225" s="28"/>
      <c r="I225" s="28"/>
      <c r="J225" s="28"/>
      <c r="K225" s="59">
        <f>(K10+K53+K96+K139+K182)/5</f>
        <v>-140.6</v>
      </c>
    </row>
    <row r="226" spans="1:11" ht="15.75" customHeight="1" x14ac:dyDescent="0.3">
      <c r="A226" s="27" t="s">
        <v>23</v>
      </c>
      <c r="B226" s="18"/>
      <c r="C226" s="18"/>
      <c r="D226" s="18"/>
      <c r="E226" s="18"/>
      <c r="F226" s="18"/>
      <c r="G226" s="18"/>
      <c r="H226" s="18"/>
      <c r="I226" s="18"/>
      <c r="J226" s="18"/>
      <c r="K226" s="59"/>
    </row>
    <row r="227" spans="1:11" ht="15.75" customHeight="1" x14ac:dyDescent="0.3">
      <c r="A227" s="27"/>
      <c r="B227" s="18"/>
      <c r="C227" s="18"/>
      <c r="D227" s="18"/>
      <c r="E227" s="18"/>
      <c r="F227" s="18"/>
      <c r="G227" s="18"/>
      <c r="H227" s="18"/>
      <c r="I227" s="18"/>
      <c r="J227" s="18"/>
      <c r="K227" s="59"/>
    </row>
    <row r="228" spans="1:11" ht="15.75" customHeight="1" x14ac:dyDescent="0.3">
      <c r="A228" s="27" t="s">
        <v>24</v>
      </c>
      <c r="B228" s="18">
        <f>(B13+B56+B99+B142+B185)/5</f>
        <v>7.4</v>
      </c>
      <c r="C228" s="18">
        <f t="shared" ref="C228:J228" si="0">(C13+C56+C99+C142+C185)/5</f>
        <v>3.6</v>
      </c>
      <c r="D228" s="18">
        <f t="shared" si="0"/>
        <v>1.2</v>
      </c>
      <c r="E228" s="18">
        <f t="shared" si="0"/>
        <v>0</v>
      </c>
      <c r="F228" s="18">
        <f t="shared" si="0"/>
        <v>0</v>
      </c>
      <c r="G228" s="18">
        <f t="shared" si="0"/>
        <v>0</v>
      </c>
      <c r="H228" s="18">
        <f t="shared" si="0"/>
        <v>0</v>
      </c>
      <c r="I228" s="18">
        <f t="shared" si="0"/>
        <v>0</v>
      </c>
      <c r="J228" s="18">
        <f t="shared" si="0"/>
        <v>0</v>
      </c>
      <c r="K228" s="59">
        <f t="shared" ref="K228:K250" si="1">(K13+K56+K99+K142+K185)/5</f>
        <v>12.2</v>
      </c>
    </row>
    <row r="229" spans="1:11" ht="15.75" customHeight="1" x14ac:dyDescent="0.3">
      <c r="A229" s="27"/>
      <c r="B229" s="18"/>
      <c r="C229" s="18"/>
      <c r="D229" s="18"/>
      <c r="E229" s="18"/>
      <c r="F229" s="18"/>
      <c r="G229" s="18"/>
      <c r="H229" s="18"/>
      <c r="I229" s="18"/>
      <c r="J229" s="18"/>
      <c r="K229" s="59"/>
    </row>
    <row r="230" spans="1:11" ht="15.75" customHeight="1" x14ac:dyDescent="0.3">
      <c r="A230" s="27" t="s">
        <v>25</v>
      </c>
      <c r="B230" s="18">
        <f t="shared" ref="B230:J250" si="2">(B15+B58+B101+B144+B187)/5</f>
        <v>6.6</v>
      </c>
      <c r="C230" s="18">
        <f t="shared" si="2"/>
        <v>1.4</v>
      </c>
      <c r="D230" s="18">
        <f t="shared" si="2"/>
        <v>0</v>
      </c>
      <c r="E230" s="18">
        <f t="shared" si="2"/>
        <v>0</v>
      </c>
      <c r="F230" s="18">
        <f t="shared" si="2"/>
        <v>0</v>
      </c>
      <c r="G230" s="18">
        <f t="shared" si="2"/>
        <v>0</v>
      </c>
      <c r="H230" s="18">
        <f t="shared" si="2"/>
        <v>0</v>
      </c>
      <c r="I230" s="18">
        <f t="shared" si="2"/>
        <v>0</v>
      </c>
      <c r="J230" s="18">
        <f t="shared" si="2"/>
        <v>0</v>
      </c>
      <c r="K230" s="59">
        <f t="shared" si="1"/>
        <v>8</v>
      </c>
    </row>
    <row r="231" spans="1:11" ht="15.75" customHeight="1" x14ac:dyDescent="0.3">
      <c r="A231" s="27"/>
      <c r="B231" s="18"/>
      <c r="C231" s="18"/>
      <c r="D231" s="18"/>
      <c r="E231" s="18"/>
      <c r="F231" s="18"/>
      <c r="G231" s="18"/>
      <c r="H231" s="18"/>
      <c r="I231" s="18"/>
      <c r="J231" s="18"/>
      <c r="K231" s="59"/>
    </row>
    <row r="232" spans="1:11" ht="15.75" customHeight="1" x14ac:dyDescent="0.3">
      <c r="A232" s="27" t="s">
        <v>26</v>
      </c>
      <c r="B232" s="18">
        <f t="shared" si="2"/>
        <v>13.6</v>
      </c>
      <c r="C232" s="18">
        <f t="shared" si="2"/>
        <v>5</v>
      </c>
      <c r="D232" s="18">
        <f t="shared" si="2"/>
        <v>0.4</v>
      </c>
      <c r="E232" s="18">
        <f t="shared" si="2"/>
        <v>0.4</v>
      </c>
      <c r="F232" s="18">
        <f t="shared" si="2"/>
        <v>0</v>
      </c>
      <c r="G232" s="18">
        <f t="shared" si="2"/>
        <v>0</v>
      </c>
      <c r="H232" s="18">
        <f t="shared" si="2"/>
        <v>0</v>
      </c>
      <c r="I232" s="18">
        <f t="shared" si="2"/>
        <v>0</v>
      </c>
      <c r="J232" s="18">
        <f t="shared" si="2"/>
        <v>0</v>
      </c>
      <c r="K232" s="59">
        <f t="shared" si="1"/>
        <v>19.399999999999999</v>
      </c>
    </row>
    <row r="233" spans="1:11" ht="15.75" customHeight="1" x14ac:dyDescent="0.3">
      <c r="A233" s="27"/>
      <c r="B233" s="18"/>
      <c r="C233" s="18"/>
      <c r="D233" s="18"/>
      <c r="E233" s="18"/>
      <c r="F233" s="18"/>
      <c r="G233" s="18"/>
      <c r="H233" s="18"/>
      <c r="I233" s="18"/>
      <c r="J233" s="18"/>
      <c r="K233" s="59"/>
    </row>
    <row r="234" spans="1:11" ht="15.75" customHeight="1" x14ac:dyDescent="0.3">
      <c r="A234" s="27" t="s">
        <v>27</v>
      </c>
      <c r="B234" s="18">
        <f t="shared" si="2"/>
        <v>14</v>
      </c>
      <c r="C234" s="18">
        <f t="shared" si="2"/>
        <v>4.8</v>
      </c>
      <c r="D234" s="18">
        <f t="shared" si="2"/>
        <v>0.6</v>
      </c>
      <c r="E234" s="18">
        <f t="shared" si="2"/>
        <v>0</v>
      </c>
      <c r="F234" s="18">
        <f t="shared" si="2"/>
        <v>0</v>
      </c>
      <c r="G234" s="18">
        <f t="shared" si="2"/>
        <v>0</v>
      </c>
      <c r="H234" s="18">
        <f t="shared" si="2"/>
        <v>0</v>
      </c>
      <c r="I234" s="18">
        <f t="shared" si="2"/>
        <v>0</v>
      </c>
      <c r="J234" s="18">
        <f t="shared" si="2"/>
        <v>0</v>
      </c>
      <c r="K234" s="59">
        <f t="shared" si="1"/>
        <v>19.399999999999999</v>
      </c>
    </row>
    <row r="235" spans="1:11" ht="15.75" customHeight="1" x14ac:dyDescent="0.3">
      <c r="A235" s="27"/>
      <c r="B235" s="18"/>
      <c r="C235" s="18"/>
      <c r="D235" s="18"/>
      <c r="E235" s="18"/>
      <c r="F235" s="18"/>
      <c r="G235" s="18"/>
      <c r="H235" s="18"/>
      <c r="I235" s="18"/>
      <c r="J235" s="18"/>
      <c r="K235" s="59"/>
    </row>
    <row r="236" spans="1:11" ht="15.75" customHeight="1" x14ac:dyDescent="0.3">
      <c r="A236" s="27" t="s">
        <v>28</v>
      </c>
      <c r="B236" s="18">
        <f t="shared" si="2"/>
        <v>21</v>
      </c>
      <c r="C236" s="18">
        <f t="shared" si="2"/>
        <v>7.8</v>
      </c>
      <c r="D236" s="18">
        <f t="shared" si="2"/>
        <v>0.2</v>
      </c>
      <c r="E236" s="18">
        <f t="shared" si="2"/>
        <v>0</v>
      </c>
      <c r="F236" s="18">
        <f t="shared" si="2"/>
        <v>0</v>
      </c>
      <c r="G236" s="18">
        <f t="shared" si="2"/>
        <v>0</v>
      </c>
      <c r="H236" s="18">
        <f t="shared" si="2"/>
        <v>0</v>
      </c>
      <c r="I236" s="18">
        <f t="shared" si="2"/>
        <v>0</v>
      </c>
      <c r="J236" s="18">
        <f t="shared" si="2"/>
        <v>0</v>
      </c>
      <c r="K236" s="59">
        <f t="shared" si="1"/>
        <v>29</v>
      </c>
    </row>
    <row r="237" spans="1:11" ht="15.75" customHeight="1" x14ac:dyDescent="0.3">
      <c r="A237" s="27"/>
      <c r="B237" s="18"/>
      <c r="C237" s="18"/>
      <c r="D237" s="18"/>
      <c r="E237" s="18"/>
      <c r="F237" s="18"/>
      <c r="G237" s="18"/>
      <c r="H237" s="18"/>
      <c r="I237" s="18"/>
      <c r="J237" s="18"/>
      <c r="K237" s="59"/>
    </row>
    <row r="238" spans="1:11" ht="15.75" customHeight="1" x14ac:dyDescent="0.3">
      <c r="A238" s="27" t="s">
        <v>29</v>
      </c>
      <c r="B238" s="18">
        <f t="shared" si="2"/>
        <v>36.6</v>
      </c>
      <c r="C238" s="18">
        <f t="shared" si="2"/>
        <v>22.2</v>
      </c>
      <c r="D238" s="18">
        <f t="shared" si="2"/>
        <v>0.8</v>
      </c>
      <c r="E238" s="18">
        <f t="shared" si="2"/>
        <v>0</v>
      </c>
      <c r="F238" s="18">
        <f t="shared" si="2"/>
        <v>0</v>
      </c>
      <c r="G238" s="18">
        <f t="shared" si="2"/>
        <v>0</v>
      </c>
      <c r="H238" s="18">
        <f t="shared" si="2"/>
        <v>0</v>
      </c>
      <c r="I238" s="18">
        <f t="shared" si="2"/>
        <v>0</v>
      </c>
      <c r="J238" s="18">
        <f t="shared" si="2"/>
        <v>0</v>
      </c>
      <c r="K238" s="59">
        <f t="shared" si="1"/>
        <v>59.6</v>
      </c>
    </row>
    <row r="239" spans="1:11" ht="15.75" customHeight="1" x14ac:dyDescent="0.3">
      <c r="A239" s="27"/>
      <c r="B239" s="18"/>
      <c r="C239" s="18"/>
      <c r="D239" s="18"/>
      <c r="E239" s="18"/>
      <c r="F239" s="18"/>
      <c r="G239" s="18"/>
      <c r="H239" s="18"/>
      <c r="I239" s="18"/>
      <c r="J239" s="18"/>
      <c r="K239" s="59"/>
    </row>
    <row r="240" spans="1:11" ht="15.75" customHeight="1" x14ac:dyDescent="0.3">
      <c r="A240" s="27" t="s">
        <v>30</v>
      </c>
      <c r="B240" s="18">
        <f t="shared" si="2"/>
        <v>38.200000000000003</v>
      </c>
      <c r="C240" s="18">
        <f t="shared" si="2"/>
        <v>28</v>
      </c>
      <c r="D240" s="18">
        <f t="shared" si="2"/>
        <v>0.6</v>
      </c>
      <c r="E240" s="18">
        <f t="shared" si="2"/>
        <v>0</v>
      </c>
      <c r="F240" s="18">
        <f t="shared" si="2"/>
        <v>0</v>
      </c>
      <c r="G240" s="18">
        <f t="shared" si="2"/>
        <v>0</v>
      </c>
      <c r="H240" s="18">
        <f t="shared" si="2"/>
        <v>0</v>
      </c>
      <c r="I240" s="18">
        <f t="shared" si="2"/>
        <v>0</v>
      </c>
      <c r="J240" s="18">
        <f t="shared" si="2"/>
        <v>0</v>
      </c>
      <c r="K240" s="59">
        <f t="shared" si="1"/>
        <v>66.8</v>
      </c>
    </row>
    <row r="241" spans="1:11" ht="15.75" customHeight="1" x14ac:dyDescent="0.3">
      <c r="A241" s="27"/>
      <c r="B241" s="18"/>
      <c r="C241" s="18"/>
      <c r="D241" s="18"/>
      <c r="E241" s="18"/>
      <c r="F241" s="18"/>
      <c r="G241" s="18"/>
      <c r="H241" s="18"/>
      <c r="I241" s="18"/>
      <c r="J241" s="18"/>
      <c r="K241" s="59"/>
    </row>
    <row r="242" spans="1:11" ht="15.75" customHeight="1" x14ac:dyDescent="0.3">
      <c r="A242" s="27" t="s">
        <v>31</v>
      </c>
      <c r="B242" s="18">
        <f t="shared" si="2"/>
        <v>29</v>
      </c>
      <c r="C242" s="18">
        <f t="shared" si="2"/>
        <v>17.399999999999999</v>
      </c>
      <c r="D242" s="18">
        <f t="shared" si="2"/>
        <v>1</v>
      </c>
      <c r="E242" s="18">
        <f t="shared" si="2"/>
        <v>0</v>
      </c>
      <c r="F242" s="18">
        <f t="shared" si="2"/>
        <v>0</v>
      </c>
      <c r="G242" s="18">
        <f t="shared" si="2"/>
        <v>0</v>
      </c>
      <c r="H242" s="18">
        <f t="shared" si="2"/>
        <v>0</v>
      </c>
      <c r="I242" s="18">
        <f t="shared" si="2"/>
        <v>0</v>
      </c>
      <c r="J242" s="18">
        <f t="shared" si="2"/>
        <v>0</v>
      </c>
      <c r="K242" s="59">
        <f t="shared" si="1"/>
        <v>47.4</v>
      </c>
    </row>
    <row r="243" spans="1:11" ht="15.75" customHeight="1" x14ac:dyDescent="0.3">
      <c r="A243" s="27"/>
      <c r="B243" s="18"/>
      <c r="C243" s="18"/>
      <c r="D243" s="18"/>
      <c r="E243" s="18"/>
      <c r="F243" s="18"/>
      <c r="G243" s="18"/>
      <c r="H243" s="18"/>
      <c r="I243" s="18"/>
      <c r="J243" s="18"/>
      <c r="K243" s="59"/>
    </row>
    <row r="244" spans="1:11" ht="15.75" customHeight="1" x14ac:dyDescent="0.3">
      <c r="A244" s="27" t="s">
        <v>32</v>
      </c>
      <c r="B244" s="18">
        <f t="shared" si="2"/>
        <v>12</v>
      </c>
      <c r="C244" s="18">
        <f t="shared" si="2"/>
        <v>4.8</v>
      </c>
      <c r="D244" s="18">
        <f t="shared" si="2"/>
        <v>0.6</v>
      </c>
      <c r="E244" s="18">
        <f t="shared" si="2"/>
        <v>0</v>
      </c>
      <c r="F244" s="18">
        <f t="shared" si="2"/>
        <v>0</v>
      </c>
      <c r="G244" s="18">
        <f t="shared" si="2"/>
        <v>0</v>
      </c>
      <c r="H244" s="18">
        <f t="shared" si="2"/>
        <v>0</v>
      </c>
      <c r="I244" s="18">
        <f t="shared" si="2"/>
        <v>0</v>
      </c>
      <c r="J244" s="18">
        <f t="shared" si="2"/>
        <v>0</v>
      </c>
      <c r="K244" s="59">
        <f t="shared" si="1"/>
        <v>17.399999999999999</v>
      </c>
    </row>
    <row r="245" spans="1:11" ht="15.75" customHeight="1" x14ac:dyDescent="0.3">
      <c r="A245" s="27"/>
      <c r="B245" s="18"/>
      <c r="C245" s="18"/>
      <c r="D245" s="18"/>
      <c r="E245" s="18"/>
      <c r="F245" s="18"/>
      <c r="G245" s="18"/>
      <c r="H245" s="18"/>
      <c r="I245" s="18"/>
      <c r="J245" s="18"/>
      <c r="K245" s="59"/>
    </row>
    <row r="246" spans="1:11" ht="15.75" customHeight="1" x14ac:dyDescent="0.3">
      <c r="A246" s="27" t="s">
        <v>33</v>
      </c>
      <c r="B246" s="18">
        <f t="shared" si="2"/>
        <v>9.1999999999999993</v>
      </c>
      <c r="C246" s="18">
        <f t="shared" si="2"/>
        <v>4.8</v>
      </c>
      <c r="D246" s="18">
        <f t="shared" si="2"/>
        <v>0.8</v>
      </c>
      <c r="E246" s="18">
        <f t="shared" si="2"/>
        <v>0.2</v>
      </c>
      <c r="F246" s="18">
        <f t="shared" si="2"/>
        <v>0.4</v>
      </c>
      <c r="G246" s="18">
        <f t="shared" si="2"/>
        <v>0</v>
      </c>
      <c r="H246" s="18">
        <f t="shared" si="2"/>
        <v>0</v>
      </c>
      <c r="I246" s="18">
        <f t="shared" si="2"/>
        <v>0</v>
      </c>
      <c r="J246" s="18">
        <f t="shared" si="2"/>
        <v>0</v>
      </c>
      <c r="K246" s="59">
        <f t="shared" si="1"/>
        <v>15.4</v>
      </c>
    </row>
    <row r="247" spans="1:11" ht="15.75" customHeight="1" x14ac:dyDescent="0.3">
      <c r="A247" s="27"/>
      <c r="B247" s="18"/>
      <c r="C247" s="18"/>
      <c r="D247" s="18"/>
      <c r="E247" s="18"/>
      <c r="F247" s="18"/>
      <c r="G247" s="18"/>
      <c r="H247" s="18"/>
      <c r="I247" s="18"/>
      <c r="J247" s="18"/>
      <c r="K247" s="59"/>
    </row>
    <row r="248" spans="1:11" ht="15.75" customHeight="1" x14ac:dyDescent="0.3">
      <c r="A248" s="27" t="s">
        <v>34</v>
      </c>
      <c r="B248" s="18">
        <f t="shared" si="2"/>
        <v>13.6</v>
      </c>
      <c r="C248" s="18">
        <f t="shared" si="2"/>
        <v>18.399999999999999</v>
      </c>
      <c r="D248" s="18">
        <f t="shared" si="2"/>
        <v>1</v>
      </c>
      <c r="E248" s="18">
        <f t="shared" si="2"/>
        <v>0</v>
      </c>
      <c r="F248" s="18">
        <f t="shared" si="2"/>
        <v>0.2</v>
      </c>
      <c r="G248" s="18">
        <f t="shared" si="2"/>
        <v>0</v>
      </c>
      <c r="H248" s="18">
        <f t="shared" si="2"/>
        <v>0</v>
      </c>
      <c r="I248" s="18">
        <f t="shared" si="2"/>
        <v>0</v>
      </c>
      <c r="J248" s="18">
        <f t="shared" si="2"/>
        <v>0</v>
      </c>
      <c r="K248" s="59">
        <f t="shared" si="1"/>
        <v>33.200000000000003</v>
      </c>
    </row>
    <row r="249" spans="1:11" ht="15.75" customHeight="1" x14ac:dyDescent="0.3">
      <c r="A249" s="27"/>
      <c r="B249" s="18"/>
      <c r="C249" s="18"/>
      <c r="D249" s="18"/>
      <c r="E249" s="18"/>
      <c r="F249" s="18"/>
      <c r="G249" s="18"/>
      <c r="H249" s="18"/>
      <c r="I249" s="18"/>
      <c r="J249" s="18"/>
      <c r="K249" s="59"/>
    </row>
    <row r="250" spans="1:11" ht="15.75" customHeight="1" x14ac:dyDescent="0.3">
      <c r="A250" s="27" t="s">
        <v>35</v>
      </c>
      <c r="B250" s="18">
        <f t="shared" si="2"/>
        <v>18.8</v>
      </c>
      <c r="C250" s="18">
        <f t="shared" si="2"/>
        <v>21.4</v>
      </c>
      <c r="D250" s="18">
        <f t="shared" si="2"/>
        <v>1.2</v>
      </c>
      <c r="E250" s="18">
        <f t="shared" si="2"/>
        <v>0.2</v>
      </c>
      <c r="F250" s="18">
        <f t="shared" si="2"/>
        <v>0</v>
      </c>
      <c r="G250" s="18">
        <f t="shared" si="2"/>
        <v>0</v>
      </c>
      <c r="H250" s="18">
        <f t="shared" si="2"/>
        <v>0</v>
      </c>
      <c r="I250" s="18">
        <f t="shared" si="2"/>
        <v>0</v>
      </c>
      <c r="J250" s="18">
        <f t="shared" si="2"/>
        <v>0</v>
      </c>
      <c r="K250" s="59">
        <f t="shared" si="1"/>
        <v>41.6</v>
      </c>
    </row>
    <row r="251" spans="1:11" ht="15.75" customHeight="1" x14ac:dyDescent="0.3">
      <c r="A251" s="29"/>
      <c r="B251" s="19"/>
      <c r="C251" s="19"/>
      <c r="D251" s="19"/>
      <c r="E251" s="19"/>
      <c r="F251" s="19"/>
      <c r="G251" s="19"/>
      <c r="H251" s="19"/>
      <c r="I251" s="19"/>
      <c r="J251" s="19"/>
      <c r="K251" s="19"/>
    </row>
    <row r="252" spans="1:11" ht="15.75" customHeight="1" x14ac:dyDescent="0.25">
      <c r="A252" s="63" t="s">
        <v>21</v>
      </c>
      <c r="B252" s="63">
        <f>SUM(B228:B250)</f>
        <v>220</v>
      </c>
      <c r="C252" s="63">
        <f t="shared" ref="C252:J252" si="3">SUM(C228:C250)</f>
        <v>139.6</v>
      </c>
      <c r="D252" s="63">
        <f t="shared" si="3"/>
        <v>8.4</v>
      </c>
      <c r="E252" s="63">
        <f t="shared" si="3"/>
        <v>0.8</v>
      </c>
      <c r="F252" s="63">
        <f t="shared" si="3"/>
        <v>0.60000000000000009</v>
      </c>
      <c r="G252" s="63">
        <f t="shared" si="3"/>
        <v>0</v>
      </c>
      <c r="H252" s="63">
        <f t="shared" si="3"/>
        <v>0</v>
      </c>
      <c r="I252" s="63">
        <f t="shared" si="3"/>
        <v>0</v>
      </c>
      <c r="J252" s="63">
        <f t="shared" si="3"/>
        <v>0</v>
      </c>
      <c r="K252" s="63">
        <f>SUM(K225:K251)</f>
        <v>228.80000000000004</v>
      </c>
    </row>
    <row r="253" spans="1:11" ht="15.75" customHeight="1" x14ac:dyDescent="0.2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</row>
  </sheetData>
  <mergeCells count="126">
    <mergeCell ref="A218:E218"/>
    <mergeCell ref="G218:J218"/>
    <mergeCell ref="A219:E219"/>
    <mergeCell ref="G219:J219"/>
    <mergeCell ref="A221:K221"/>
    <mergeCell ref="A222:K222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A50:K50"/>
    <mergeCell ref="E51:F51"/>
    <mergeCell ref="A80:A81"/>
    <mergeCell ref="B80:B81"/>
    <mergeCell ref="C80:C81"/>
    <mergeCell ref="D80:D81"/>
    <mergeCell ref="E80:E81"/>
    <mergeCell ref="A216:E216"/>
    <mergeCell ref="A217:C217"/>
    <mergeCell ref="G217:I217"/>
    <mergeCell ref="A93:K93"/>
    <mergeCell ref="E94:F94"/>
    <mergeCell ref="F80:F81"/>
    <mergeCell ref="G80:G81"/>
    <mergeCell ref="A87:E87"/>
    <mergeCell ref="A88:C88"/>
    <mergeCell ref="G88:I88"/>
    <mergeCell ref="A89:E89"/>
    <mergeCell ref="A90:E90"/>
    <mergeCell ref="J80:J81"/>
    <mergeCell ref="K80:K81"/>
    <mergeCell ref="G166:G167"/>
    <mergeCell ref="H166:H167"/>
    <mergeCell ref="G174:I174"/>
    <mergeCell ref="G175:J175"/>
    <mergeCell ref="G176:J176"/>
    <mergeCell ref="I166:I167"/>
    <mergeCell ref="J166:J167"/>
    <mergeCell ref="A135:K135"/>
    <mergeCell ref="A136:K136"/>
    <mergeCell ref="E137:F137"/>
    <mergeCell ref="A166:A167"/>
    <mergeCell ref="B166:B167"/>
    <mergeCell ref="C166:C167"/>
    <mergeCell ref="D166:D167"/>
    <mergeCell ref="K166:K167"/>
    <mergeCell ref="E166:E167"/>
    <mergeCell ref="F166:F167"/>
    <mergeCell ref="A173:E173"/>
    <mergeCell ref="A174:C174"/>
    <mergeCell ref="A175:E175"/>
    <mergeCell ref="A176:E176"/>
    <mergeCell ref="A178:K178"/>
    <mergeCell ref="F209:F210"/>
    <mergeCell ref="G209:G210"/>
    <mergeCell ref="H209:H210"/>
    <mergeCell ref="I209:I210"/>
    <mergeCell ref="J209:J210"/>
    <mergeCell ref="K209:K210"/>
    <mergeCell ref="A179:K179"/>
    <mergeCell ref="E180:F180"/>
    <mergeCell ref="A209:A210"/>
    <mergeCell ref="B209:B210"/>
    <mergeCell ref="C209:C210"/>
    <mergeCell ref="D209:D210"/>
    <mergeCell ref="E209:E210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G45:I45"/>
    <mergeCell ref="G46:J46"/>
    <mergeCell ref="G47:J47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4:E44"/>
    <mergeCell ref="A45:C45"/>
    <mergeCell ref="A46:E46"/>
    <mergeCell ref="A47:E47"/>
    <mergeCell ref="A49:K49"/>
    <mergeCell ref="H80:H81"/>
    <mergeCell ref="I80:I81"/>
    <mergeCell ref="A130:E130"/>
    <mergeCell ref="A131:C131"/>
    <mergeCell ref="G131:I131"/>
    <mergeCell ref="A132:E132"/>
    <mergeCell ref="G132:J132"/>
    <mergeCell ref="A133:E133"/>
    <mergeCell ref="G133:J133"/>
    <mergeCell ref="H123:H124"/>
    <mergeCell ref="I123:I124"/>
    <mergeCell ref="J123:J124"/>
    <mergeCell ref="K123:K124"/>
    <mergeCell ref="A123:A124"/>
    <mergeCell ref="B123:B124"/>
    <mergeCell ref="C123:C124"/>
    <mergeCell ref="D123:D124"/>
    <mergeCell ref="E123:E124"/>
    <mergeCell ref="F123:F124"/>
    <mergeCell ref="G123:G124"/>
    <mergeCell ref="G89:J89"/>
    <mergeCell ref="G90:J90"/>
    <mergeCell ref="A92:K9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53"/>
  <sheetViews>
    <sheetView topLeftCell="A225" workbookViewId="0">
      <selection activeCell="E275" sqref="E275"/>
    </sheetView>
  </sheetViews>
  <sheetFormatPr defaultColWidth="12.6328125" defaultRowHeight="15.75" customHeight="1" x14ac:dyDescent="0.25"/>
  <sheetData>
    <row r="1" spans="1:11" ht="14" x14ac:dyDescent="0.3">
      <c r="A1" s="65" t="s">
        <v>0</v>
      </c>
      <c r="B1" s="66"/>
      <c r="C1" s="66"/>
      <c r="D1" s="66"/>
      <c r="E1" s="66"/>
      <c r="F1" s="2"/>
      <c r="G1" s="2"/>
      <c r="H1" s="2"/>
      <c r="I1" s="2"/>
      <c r="J1" s="2"/>
      <c r="K1" s="2"/>
    </row>
    <row r="2" spans="1:11" ht="14" x14ac:dyDescent="0.3">
      <c r="A2" s="65" t="s">
        <v>1</v>
      </c>
      <c r="B2" s="66"/>
      <c r="C2" s="66"/>
      <c r="D2" s="2"/>
      <c r="E2" s="2"/>
      <c r="F2" s="2"/>
      <c r="G2" s="65" t="s">
        <v>58</v>
      </c>
      <c r="H2" s="66"/>
      <c r="I2" s="66"/>
      <c r="J2" s="1"/>
      <c r="K2" s="2"/>
    </row>
    <row r="3" spans="1:11" ht="14" x14ac:dyDescent="0.3">
      <c r="A3" s="65" t="s">
        <v>3</v>
      </c>
      <c r="B3" s="66"/>
      <c r="C3" s="66"/>
      <c r="D3" s="66"/>
      <c r="E3" s="66"/>
      <c r="F3" s="2"/>
      <c r="G3" s="65" t="s">
        <v>4</v>
      </c>
      <c r="H3" s="66"/>
      <c r="I3" s="66"/>
      <c r="J3" s="66"/>
      <c r="K3" s="2"/>
    </row>
    <row r="4" spans="1:11" ht="14" x14ac:dyDescent="0.3">
      <c r="A4" s="65" t="s">
        <v>5</v>
      </c>
      <c r="B4" s="66"/>
      <c r="C4" s="66"/>
      <c r="D4" s="66"/>
      <c r="E4" s="66"/>
      <c r="F4" s="2"/>
      <c r="G4" s="65" t="s">
        <v>6</v>
      </c>
      <c r="H4" s="66"/>
      <c r="I4" s="66"/>
      <c r="J4" s="6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60" t="s">
        <v>7</v>
      </c>
      <c r="B6" s="61"/>
      <c r="C6" s="61"/>
      <c r="D6" s="61"/>
      <c r="E6" s="61"/>
      <c r="F6" s="61"/>
      <c r="G6" s="61"/>
      <c r="H6" s="61"/>
      <c r="I6" s="61"/>
      <c r="J6" s="61"/>
      <c r="K6" s="62"/>
    </row>
    <row r="7" spans="1:11" ht="14" x14ac:dyDescent="0.3">
      <c r="A7" s="67" t="s">
        <v>8</v>
      </c>
      <c r="B7" s="68"/>
      <c r="C7" s="68"/>
      <c r="D7" s="68"/>
      <c r="E7" s="68"/>
      <c r="F7" s="68"/>
      <c r="G7" s="68"/>
      <c r="H7" s="68"/>
      <c r="I7" s="68"/>
      <c r="J7" s="68"/>
      <c r="K7" s="69"/>
    </row>
    <row r="8" spans="1:11" ht="14" x14ac:dyDescent="0.3">
      <c r="A8" s="4" t="s">
        <v>9</v>
      </c>
      <c r="B8" s="5"/>
      <c r="C8" s="5"/>
      <c r="D8" s="5"/>
      <c r="E8" s="70" t="s">
        <v>10</v>
      </c>
      <c r="F8" s="71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59">
        <v>-184</v>
      </c>
    </row>
    <row r="11" spans="1:11" ht="15.75" customHeight="1" x14ac:dyDescent="0.25">
      <c r="A11" s="12" t="s">
        <v>23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4">
        <v>0</v>
      </c>
    </row>
    <row r="12" spans="1:11" ht="15.75" customHeight="1" x14ac:dyDescent="0.25">
      <c r="A12" s="12"/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0</v>
      </c>
    </row>
    <row r="13" spans="1:11" ht="14" x14ac:dyDescent="0.3">
      <c r="A13" s="27" t="s">
        <v>24</v>
      </c>
      <c r="B13" s="18">
        <v>5</v>
      </c>
      <c r="C13" s="18">
        <v>3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9">
        <v>8</v>
      </c>
    </row>
    <row r="14" spans="1:11" ht="14" x14ac:dyDescent="0.3">
      <c r="A14" s="27"/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9">
        <v>0</v>
      </c>
    </row>
    <row r="15" spans="1:11" ht="14" x14ac:dyDescent="0.3">
      <c r="A15" s="27" t="s">
        <v>25</v>
      </c>
      <c r="B15" s="18">
        <v>6</v>
      </c>
      <c r="C15" s="18">
        <v>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9">
        <v>8</v>
      </c>
    </row>
    <row r="16" spans="1:11" ht="14" x14ac:dyDescent="0.3">
      <c r="A16" s="27"/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9">
        <v>0</v>
      </c>
    </row>
    <row r="17" spans="1:11" ht="14" x14ac:dyDescent="0.3">
      <c r="A17" s="27" t="s">
        <v>26</v>
      </c>
      <c r="B17" s="18">
        <v>6</v>
      </c>
      <c r="C17" s="18">
        <v>4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9">
        <v>10</v>
      </c>
    </row>
    <row r="18" spans="1:11" ht="14" x14ac:dyDescent="0.3">
      <c r="A18" s="27"/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9">
        <v>0</v>
      </c>
    </row>
    <row r="19" spans="1:11" ht="14" x14ac:dyDescent="0.3">
      <c r="A19" s="27" t="s">
        <v>27</v>
      </c>
      <c r="B19" s="18">
        <v>4</v>
      </c>
      <c r="C19" s="18">
        <v>3</v>
      </c>
      <c r="D19" s="18">
        <v>1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9">
        <v>8</v>
      </c>
    </row>
    <row r="20" spans="1:11" ht="14" x14ac:dyDescent="0.3">
      <c r="A20" s="27"/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9">
        <v>0</v>
      </c>
    </row>
    <row r="21" spans="1:11" ht="14" x14ac:dyDescent="0.3">
      <c r="A21" s="27" t="s">
        <v>28</v>
      </c>
      <c r="B21" s="18">
        <v>2</v>
      </c>
      <c r="C21" s="18">
        <v>11</v>
      </c>
      <c r="D21" s="18">
        <v>2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9">
        <v>15</v>
      </c>
    </row>
    <row r="22" spans="1:11" ht="14" x14ac:dyDescent="0.3">
      <c r="A22" s="27"/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9">
        <v>0</v>
      </c>
    </row>
    <row r="23" spans="1:11" ht="14" x14ac:dyDescent="0.3">
      <c r="A23" s="27" t="s">
        <v>29</v>
      </c>
      <c r="B23" s="18">
        <v>15</v>
      </c>
      <c r="C23" s="18">
        <v>26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9">
        <v>41</v>
      </c>
    </row>
    <row r="24" spans="1:11" ht="14" x14ac:dyDescent="0.3">
      <c r="A24" s="27"/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9">
        <v>0</v>
      </c>
    </row>
    <row r="25" spans="1:11" ht="14" x14ac:dyDescent="0.3">
      <c r="A25" s="27" t="s">
        <v>30</v>
      </c>
      <c r="B25" s="18">
        <v>22</v>
      </c>
      <c r="C25" s="18">
        <v>64</v>
      </c>
      <c r="D25" s="18">
        <v>3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9">
        <v>89</v>
      </c>
    </row>
    <row r="26" spans="1:11" ht="14" x14ac:dyDescent="0.3">
      <c r="A26" s="27"/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9">
        <v>0</v>
      </c>
    </row>
    <row r="27" spans="1:11" ht="14" x14ac:dyDescent="0.3">
      <c r="A27" s="27" t="s">
        <v>31</v>
      </c>
      <c r="B27" s="18">
        <v>20</v>
      </c>
      <c r="C27" s="18">
        <v>38</v>
      </c>
      <c r="D27" s="18">
        <v>0</v>
      </c>
      <c r="E27" s="18">
        <v>3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9">
        <v>61</v>
      </c>
    </row>
    <row r="28" spans="1:11" ht="14" x14ac:dyDescent="0.3">
      <c r="A28" s="27"/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9">
        <v>0</v>
      </c>
    </row>
    <row r="29" spans="1:11" ht="14" x14ac:dyDescent="0.3">
      <c r="A29" s="27" t="s">
        <v>32</v>
      </c>
      <c r="B29" s="18">
        <v>5</v>
      </c>
      <c r="C29" s="18">
        <v>7</v>
      </c>
      <c r="D29" s="18">
        <v>0</v>
      </c>
      <c r="E29" s="18">
        <v>0</v>
      </c>
      <c r="F29" s="18">
        <v>1</v>
      </c>
      <c r="G29" s="18">
        <v>0</v>
      </c>
      <c r="H29" s="18">
        <v>0</v>
      </c>
      <c r="I29" s="18">
        <v>0</v>
      </c>
      <c r="J29" s="18">
        <v>0</v>
      </c>
      <c r="K29" s="19">
        <v>13</v>
      </c>
    </row>
    <row r="30" spans="1:11" ht="14" x14ac:dyDescent="0.3">
      <c r="A30" s="27"/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9">
        <v>0</v>
      </c>
    </row>
    <row r="31" spans="1:11" ht="14" x14ac:dyDescent="0.3">
      <c r="A31" s="27" t="s">
        <v>33</v>
      </c>
      <c r="B31" s="18">
        <v>3</v>
      </c>
      <c r="C31" s="18">
        <v>3</v>
      </c>
      <c r="D31" s="18">
        <v>2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9">
        <v>8</v>
      </c>
    </row>
    <row r="32" spans="1:11" ht="14" x14ac:dyDescent="0.3">
      <c r="A32" s="27"/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9">
        <v>0</v>
      </c>
    </row>
    <row r="33" spans="1:11" ht="14" x14ac:dyDescent="0.3">
      <c r="A33" s="27" t="s">
        <v>34</v>
      </c>
      <c r="B33" s="18">
        <v>1</v>
      </c>
      <c r="C33" s="18">
        <v>7</v>
      </c>
      <c r="D33" s="18">
        <v>1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9">
        <v>9</v>
      </c>
    </row>
    <row r="34" spans="1:11" ht="14" x14ac:dyDescent="0.3">
      <c r="A34" s="27"/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9">
        <v>0</v>
      </c>
    </row>
    <row r="35" spans="1:11" ht="14" x14ac:dyDescent="0.3">
      <c r="A35" s="27" t="s">
        <v>35</v>
      </c>
      <c r="B35" s="18">
        <v>7</v>
      </c>
      <c r="C35" s="18">
        <v>7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9">
        <v>14</v>
      </c>
    </row>
    <row r="36" spans="1:11" ht="12.5" x14ac:dyDescent="0.25">
      <c r="A36" s="15"/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</row>
    <row r="37" spans="1:11" ht="12.5" x14ac:dyDescent="0.25">
      <c r="A37" s="63" t="s">
        <v>21</v>
      </c>
      <c r="B37" s="63">
        <v>96</v>
      </c>
      <c r="C37" s="63">
        <v>175</v>
      </c>
      <c r="D37" s="63">
        <v>9</v>
      </c>
      <c r="E37" s="63">
        <v>3</v>
      </c>
      <c r="F37" s="63">
        <v>1</v>
      </c>
      <c r="G37" s="63">
        <v>0</v>
      </c>
      <c r="H37" s="63">
        <v>0</v>
      </c>
      <c r="I37" s="63">
        <v>0</v>
      </c>
      <c r="J37" s="63">
        <v>0</v>
      </c>
      <c r="K37" s="63">
        <v>100</v>
      </c>
    </row>
    <row r="38" spans="1:11" ht="12.5" x14ac:dyDescent="0.2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1:11" ht="12.5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1:11" ht="12.5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65" t="s">
        <v>0</v>
      </c>
      <c r="B44" s="66"/>
      <c r="C44" s="66"/>
      <c r="D44" s="66"/>
      <c r="E44" s="66"/>
      <c r="F44" s="2"/>
      <c r="G44" s="2"/>
      <c r="H44" s="2"/>
      <c r="I44" s="2"/>
      <c r="J44" s="2"/>
      <c r="K44" s="2"/>
    </row>
    <row r="45" spans="1:11" ht="14" x14ac:dyDescent="0.3">
      <c r="A45" s="65" t="s">
        <v>1</v>
      </c>
      <c r="B45" s="66"/>
      <c r="C45" s="66"/>
      <c r="D45" s="2"/>
      <c r="E45" s="2"/>
      <c r="F45" s="2"/>
      <c r="G45" s="65" t="s">
        <v>59</v>
      </c>
      <c r="H45" s="66"/>
      <c r="I45" s="66"/>
      <c r="J45" s="1"/>
      <c r="K45" s="2"/>
    </row>
    <row r="46" spans="1:11" ht="14" x14ac:dyDescent="0.3">
      <c r="A46" s="65" t="s">
        <v>3</v>
      </c>
      <c r="B46" s="66"/>
      <c r="C46" s="66"/>
      <c r="D46" s="66"/>
      <c r="E46" s="66"/>
      <c r="F46" s="2"/>
      <c r="G46" s="65" t="s">
        <v>4</v>
      </c>
      <c r="H46" s="66"/>
      <c r="I46" s="66"/>
      <c r="J46" s="66"/>
      <c r="K46" s="2"/>
    </row>
    <row r="47" spans="1:11" ht="14" x14ac:dyDescent="0.3">
      <c r="A47" s="65" t="s">
        <v>5</v>
      </c>
      <c r="B47" s="66"/>
      <c r="C47" s="66"/>
      <c r="D47" s="66"/>
      <c r="E47" s="66"/>
      <c r="F47" s="2"/>
      <c r="G47" s="65" t="s">
        <v>6</v>
      </c>
      <c r="H47" s="66"/>
      <c r="I47" s="66"/>
      <c r="J47" s="6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60" t="s">
        <v>7</v>
      </c>
      <c r="B49" s="61"/>
      <c r="C49" s="61"/>
      <c r="D49" s="61"/>
      <c r="E49" s="61"/>
      <c r="F49" s="61"/>
      <c r="G49" s="61"/>
      <c r="H49" s="61"/>
      <c r="I49" s="61"/>
      <c r="J49" s="61"/>
      <c r="K49" s="62"/>
    </row>
    <row r="50" spans="1:11" ht="14" x14ac:dyDescent="0.3">
      <c r="A50" s="67" t="s">
        <v>8</v>
      </c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" x14ac:dyDescent="0.3">
      <c r="A51" s="4" t="s">
        <v>9</v>
      </c>
      <c r="B51" s="5"/>
      <c r="C51" s="5"/>
      <c r="D51" s="5"/>
      <c r="E51" s="70" t="s">
        <v>10</v>
      </c>
      <c r="F51" s="71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59">
        <v>-251</v>
      </c>
    </row>
    <row r="54" spans="1:11" ht="12.5" x14ac:dyDescent="0.25">
      <c r="A54" s="12" t="s">
        <v>23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0</v>
      </c>
    </row>
    <row r="55" spans="1:11" ht="12.5" x14ac:dyDescent="0.25">
      <c r="A55" s="12"/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4">
        <v>0</v>
      </c>
    </row>
    <row r="56" spans="1:11" ht="14" x14ac:dyDescent="0.3">
      <c r="A56" s="27" t="s">
        <v>24</v>
      </c>
      <c r="B56" s="18">
        <v>6</v>
      </c>
      <c r="C56" s="18">
        <v>12</v>
      </c>
      <c r="D56" s="18">
        <v>2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9">
        <v>20</v>
      </c>
    </row>
    <row r="57" spans="1:11" ht="14" x14ac:dyDescent="0.3">
      <c r="A57" s="27"/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9">
        <v>0</v>
      </c>
    </row>
    <row r="58" spans="1:11" ht="14" x14ac:dyDescent="0.3">
      <c r="A58" s="27" t="s">
        <v>25</v>
      </c>
      <c r="B58" s="18">
        <v>2</v>
      </c>
      <c r="C58" s="18">
        <v>4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9">
        <v>6</v>
      </c>
    </row>
    <row r="59" spans="1:11" ht="14" x14ac:dyDescent="0.3">
      <c r="A59" s="27"/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9">
        <v>0</v>
      </c>
    </row>
    <row r="60" spans="1:11" ht="14" x14ac:dyDescent="0.3">
      <c r="A60" s="27" t="s">
        <v>26</v>
      </c>
      <c r="B60" s="18">
        <v>4</v>
      </c>
      <c r="C60" s="18">
        <v>2</v>
      </c>
      <c r="D60" s="18">
        <v>1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9">
        <v>7</v>
      </c>
    </row>
    <row r="61" spans="1:11" ht="14" x14ac:dyDescent="0.3">
      <c r="A61" s="27"/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9">
        <v>0</v>
      </c>
    </row>
    <row r="62" spans="1:11" ht="14" x14ac:dyDescent="0.3">
      <c r="A62" s="27" t="s">
        <v>27</v>
      </c>
      <c r="B62" s="18">
        <v>8</v>
      </c>
      <c r="C62" s="18">
        <v>5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9">
        <v>13</v>
      </c>
    </row>
    <row r="63" spans="1:11" ht="14" x14ac:dyDescent="0.3">
      <c r="A63" s="27"/>
      <c r="B63" s="18">
        <v>0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9">
        <v>0</v>
      </c>
    </row>
    <row r="64" spans="1:11" ht="14" x14ac:dyDescent="0.3">
      <c r="A64" s="27" t="s">
        <v>28</v>
      </c>
      <c r="B64" s="18">
        <v>22</v>
      </c>
      <c r="C64" s="18">
        <v>15</v>
      </c>
      <c r="D64" s="18">
        <v>1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9">
        <v>38</v>
      </c>
    </row>
    <row r="65" spans="1:11" ht="14" x14ac:dyDescent="0.3">
      <c r="A65" s="27"/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9">
        <v>0</v>
      </c>
    </row>
    <row r="66" spans="1:11" ht="14" x14ac:dyDescent="0.3">
      <c r="A66" s="27" t="s">
        <v>29</v>
      </c>
      <c r="B66" s="18">
        <v>20</v>
      </c>
      <c r="C66" s="18">
        <v>21</v>
      </c>
      <c r="D66" s="18">
        <v>1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9">
        <v>42</v>
      </c>
    </row>
    <row r="67" spans="1:11" ht="14" x14ac:dyDescent="0.3">
      <c r="A67" s="27"/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9">
        <v>0</v>
      </c>
    </row>
    <row r="68" spans="1:11" ht="14" x14ac:dyDescent="0.3">
      <c r="A68" s="27" t="s">
        <v>30</v>
      </c>
      <c r="B68" s="18">
        <v>20</v>
      </c>
      <c r="C68" s="18">
        <v>31</v>
      </c>
      <c r="D68" s="18">
        <v>4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9">
        <v>55</v>
      </c>
    </row>
    <row r="69" spans="1:11" ht="14" x14ac:dyDescent="0.3">
      <c r="A69" s="27"/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9">
        <v>0</v>
      </c>
    </row>
    <row r="70" spans="1:11" ht="14" x14ac:dyDescent="0.3">
      <c r="A70" s="27" t="s">
        <v>31</v>
      </c>
      <c r="B70" s="18">
        <v>28</v>
      </c>
      <c r="C70" s="18">
        <v>21</v>
      </c>
      <c r="D70" s="18">
        <v>3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9">
        <v>52</v>
      </c>
    </row>
    <row r="71" spans="1:11" ht="14" x14ac:dyDescent="0.3">
      <c r="A71" s="27"/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9">
        <v>0</v>
      </c>
    </row>
    <row r="72" spans="1:11" ht="14" x14ac:dyDescent="0.3">
      <c r="A72" s="27" t="s">
        <v>32</v>
      </c>
      <c r="B72" s="18">
        <v>7</v>
      </c>
      <c r="C72" s="18">
        <v>8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9">
        <v>15</v>
      </c>
    </row>
    <row r="73" spans="1:11" ht="14" x14ac:dyDescent="0.3">
      <c r="A73" s="27"/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9">
        <v>0</v>
      </c>
    </row>
    <row r="74" spans="1:11" ht="14" x14ac:dyDescent="0.3">
      <c r="A74" s="27" t="s">
        <v>33</v>
      </c>
      <c r="B74" s="18">
        <v>13</v>
      </c>
      <c r="C74" s="18">
        <v>9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9">
        <v>22</v>
      </c>
    </row>
    <row r="75" spans="1:11" ht="14" x14ac:dyDescent="0.3">
      <c r="A75" s="27"/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9">
        <v>0</v>
      </c>
    </row>
    <row r="76" spans="1:11" ht="14" x14ac:dyDescent="0.3">
      <c r="A76" s="27" t="s">
        <v>34</v>
      </c>
      <c r="B76" s="18">
        <v>9</v>
      </c>
      <c r="C76" s="18">
        <v>11</v>
      </c>
      <c r="D76" s="18">
        <v>1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9">
        <v>21</v>
      </c>
    </row>
    <row r="77" spans="1:11" ht="14" x14ac:dyDescent="0.3">
      <c r="A77" s="27"/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9">
        <v>0</v>
      </c>
    </row>
    <row r="78" spans="1:11" ht="14" x14ac:dyDescent="0.3">
      <c r="A78" s="27" t="s">
        <v>35</v>
      </c>
      <c r="B78" s="18">
        <v>22</v>
      </c>
      <c r="C78" s="18">
        <v>36</v>
      </c>
      <c r="D78" s="18">
        <v>2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9">
        <v>60</v>
      </c>
    </row>
    <row r="79" spans="1:11" ht="12.5" x14ac:dyDescent="0.25">
      <c r="A79" s="15"/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</row>
    <row r="80" spans="1:11" ht="12.5" x14ac:dyDescent="0.25">
      <c r="A80" s="63" t="s">
        <v>21</v>
      </c>
      <c r="B80" s="63">
        <v>161</v>
      </c>
      <c r="C80" s="63">
        <v>175</v>
      </c>
      <c r="D80" s="63">
        <v>15</v>
      </c>
      <c r="E80" s="63">
        <v>0</v>
      </c>
      <c r="F80" s="63">
        <v>0</v>
      </c>
      <c r="G80" s="63">
        <v>0</v>
      </c>
      <c r="H80" s="63">
        <v>0</v>
      </c>
      <c r="I80" s="63">
        <v>0</v>
      </c>
      <c r="J80" s="63">
        <v>0</v>
      </c>
      <c r="K80" s="63">
        <v>100</v>
      </c>
    </row>
    <row r="81" spans="1:11" ht="12.5" x14ac:dyDescent="0.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</row>
    <row r="82" spans="1:11" ht="12.5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</row>
    <row r="83" spans="1:11" ht="12.5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65" t="s">
        <v>0</v>
      </c>
      <c r="B87" s="66"/>
      <c r="C87" s="66"/>
      <c r="D87" s="66"/>
      <c r="E87" s="66"/>
      <c r="F87" s="2"/>
      <c r="G87" s="2"/>
      <c r="H87" s="2"/>
      <c r="I87" s="2"/>
      <c r="J87" s="2"/>
      <c r="K87" s="2"/>
    </row>
    <row r="88" spans="1:11" ht="14" x14ac:dyDescent="0.3">
      <c r="A88" s="65" t="s">
        <v>1</v>
      </c>
      <c r="B88" s="66"/>
      <c r="C88" s="66"/>
      <c r="D88" s="2"/>
      <c r="E88" s="2"/>
      <c r="F88" s="2"/>
      <c r="G88" s="65" t="s">
        <v>60</v>
      </c>
      <c r="H88" s="66"/>
      <c r="I88" s="66"/>
      <c r="J88" s="1"/>
      <c r="K88" s="2"/>
    </row>
    <row r="89" spans="1:11" ht="14" x14ac:dyDescent="0.3">
      <c r="A89" s="65" t="s">
        <v>3</v>
      </c>
      <c r="B89" s="66"/>
      <c r="C89" s="66"/>
      <c r="D89" s="66"/>
      <c r="E89" s="66"/>
      <c r="F89" s="2"/>
      <c r="G89" s="65" t="s">
        <v>4</v>
      </c>
      <c r="H89" s="66"/>
      <c r="I89" s="66"/>
      <c r="J89" s="66"/>
      <c r="K89" s="2"/>
    </row>
    <row r="90" spans="1:11" ht="14" x14ac:dyDescent="0.3">
      <c r="A90" s="65" t="s">
        <v>5</v>
      </c>
      <c r="B90" s="66"/>
      <c r="C90" s="66"/>
      <c r="D90" s="66"/>
      <c r="E90" s="66"/>
      <c r="F90" s="2"/>
      <c r="G90" s="65" t="s">
        <v>6</v>
      </c>
      <c r="H90" s="66"/>
      <c r="I90" s="66"/>
      <c r="J90" s="6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60" t="s">
        <v>7</v>
      </c>
      <c r="B92" s="61"/>
      <c r="C92" s="61"/>
      <c r="D92" s="61"/>
      <c r="E92" s="61"/>
      <c r="F92" s="61"/>
      <c r="G92" s="61"/>
      <c r="H92" s="61"/>
      <c r="I92" s="61"/>
      <c r="J92" s="61"/>
      <c r="K92" s="62"/>
    </row>
    <row r="93" spans="1:11" ht="14" x14ac:dyDescent="0.3">
      <c r="A93" s="67" t="s">
        <v>8</v>
      </c>
      <c r="B93" s="68"/>
      <c r="C93" s="68"/>
      <c r="D93" s="68"/>
      <c r="E93" s="68"/>
      <c r="F93" s="68"/>
      <c r="G93" s="68"/>
      <c r="H93" s="68"/>
      <c r="I93" s="68"/>
      <c r="J93" s="68"/>
      <c r="K93" s="69"/>
    </row>
    <row r="94" spans="1:11" ht="14" x14ac:dyDescent="0.3">
      <c r="A94" s="4" t="s">
        <v>9</v>
      </c>
      <c r="B94" s="5"/>
      <c r="C94" s="5"/>
      <c r="D94" s="5"/>
      <c r="E94" s="70" t="s">
        <v>10</v>
      </c>
      <c r="F94" s="71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9" t="s">
        <v>22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59">
        <v>-6898</v>
      </c>
    </row>
    <row r="97" spans="1:11" ht="12.5" x14ac:dyDescent="0.25">
      <c r="A97" s="12" t="s">
        <v>23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4">
        <v>0</v>
      </c>
    </row>
    <row r="98" spans="1:11" ht="12.5" x14ac:dyDescent="0.25">
      <c r="A98" s="12"/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0</v>
      </c>
    </row>
    <row r="99" spans="1:11" ht="14" x14ac:dyDescent="0.3">
      <c r="A99" s="27" t="s">
        <v>24</v>
      </c>
      <c r="B99" s="18">
        <v>7</v>
      </c>
      <c r="C99" s="18">
        <v>7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9">
        <v>14</v>
      </c>
    </row>
    <row r="100" spans="1:11" ht="14" x14ac:dyDescent="0.3">
      <c r="A100" s="27"/>
      <c r="B100" s="18">
        <v>0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  <c r="K100" s="19">
        <v>0</v>
      </c>
    </row>
    <row r="101" spans="1:11" ht="14" x14ac:dyDescent="0.3">
      <c r="A101" s="27" t="s">
        <v>25</v>
      </c>
      <c r="B101" s="18">
        <v>1</v>
      </c>
      <c r="C101" s="18">
        <v>4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9">
        <v>5</v>
      </c>
    </row>
    <row r="102" spans="1:11" ht="14" x14ac:dyDescent="0.3">
      <c r="A102" s="27"/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9">
        <v>0</v>
      </c>
    </row>
    <row r="103" spans="1:11" ht="14" x14ac:dyDescent="0.3">
      <c r="A103" s="27" t="s">
        <v>26</v>
      </c>
      <c r="B103" s="18">
        <v>7</v>
      </c>
      <c r="C103" s="18">
        <v>2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9">
        <v>9</v>
      </c>
    </row>
    <row r="104" spans="1:11" ht="14" x14ac:dyDescent="0.3">
      <c r="A104" s="27"/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9">
        <v>0</v>
      </c>
    </row>
    <row r="105" spans="1:11" ht="14" x14ac:dyDescent="0.3">
      <c r="A105" s="27" t="s">
        <v>27</v>
      </c>
      <c r="B105" s="18">
        <v>11</v>
      </c>
      <c r="C105" s="18">
        <v>1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9">
        <v>12</v>
      </c>
    </row>
    <row r="106" spans="1:11" ht="14" x14ac:dyDescent="0.3">
      <c r="A106" s="27"/>
      <c r="B106" s="18">
        <v>0</v>
      </c>
      <c r="C106" s="18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9">
        <v>0</v>
      </c>
    </row>
    <row r="107" spans="1:11" ht="14" x14ac:dyDescent="0.3">
      <c r="A107" s="27" t="s">
        <v>28</v>
      </c>
      <c r="B107" s="18">
        <v>29</v>
      </c>
      <c r="C107" s="18">
        <v>4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9">
        <v>33</v>
      </c>
    </row>
    <row r="108" spans="1:11" ht="14" x14ac:dyDescent="0.3">
      <c r="A108" s="27"/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9">
        <v>0</v>
      </c>
    </row>
    <row r="109" spans="1:11" ht="14" x14ac:dyDescent="0.3">
      <c r="A109" s="27" t="s">
        <v>29</v>
      </c>
      <c r="B109" s="18">
        <v>70</v>
      </c>
      <c r="C109" s="18">
        <v>6602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9">
        <v>6672</v>
      </c>
    </row>
    <row r="110" spans="1:11" ht="14" x14ac:dyDescent="0.3">
      <c r="A110" s="27"/>
      <c r="B110" s="18">
        <v>0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9">
        <v>0</v>
      </c>
    </row>
    <row r="111" spans="1:11" ht="14" x14ac:dyDescent="0.3">
      <c r="A111" s="27" t="s">
        <v>30</v>
      </c>
      <c r="B111" s="18">
        <v>51</v>
      </c>
      <c r="C111" s="18">
        <v>75</v>
      </c>
      <c r="D111" s="18">
        <v>13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9">
        <v>139</v>
      </c>
    </row>
    <row r="112" spans="1:11" ht="14" x14ac:dyDescent="0.3">
      <c r="A112" s="27"/>
      <c r="B112" s="18">
        <v>0</v>
      </c>
      <c r="C112" s="18">
        <v>0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9">
        <v>0</v>
      </c>
    </row>
    <row r="113" spans="1:11" ht="14" x14ac:dyDescent="0.3">
      <c r="A113" s="27" t="s">
        <v>31</v>
      </c>
      <c r="B113" s="18">
        <v>33</v>
      </c>
      <c r="C113" s="18">
        <v>10</v>
      </c>
      <c r="D113" s="18">
        <v>1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9">
        <v>44</v>
      </c>
    </row>
    <row r="114" spans="1:11" ht="14" x14ac:dyDescent="0.3">
      <c r="A114" s="27"/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9">
        <v>0</v>
      </c>
    </row>
    <row r="115" spans="1:11" ht="14" x14ac:dyDescent="0.3">
      <c r="A115" s="27" t="s">
        <v>32</v>
      </c>
      <c r="B115" s="18">
        <v>7</v>
      </c>
      <c r="C115" s="18">
        <v>5</v>
      </c>
      <c r="D115" s="18">
        <v>0</v>
      </c>
      <c r="E115" s="18">
        <v>1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9">
        <v>13</v>
      </c>
    </row>
    <row r="116" spans="1:11" ht="14" x14ac:dyDescent="0.3">
      <c r="A116" s="27"/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9">
        <v>0</v>
      </c>
    </row>
    <row r="117" spans="1:11" ht="14" x14ac:dyDescent="0.3">
      <c r="A117" s="27" t="s">
        <v>33</v>
      </c>
      <c r="B117" s="18">
        <v>6</v>
      </c>
      <c r="C117" s="18">
        <v>8</v>
      </c>
      <c r="D117" s="18">
        <v>0</v>
      </c>
      <c r="E117" s="18">
        <v>1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9">
        <v>15</v>
      </c>
    </row>
    <row r="118" spans="1:11" ht="14" x14ac:dyDescent="0.3">
      <c r="A118" s="27"/>
      <c r="B118" s="18">
        <v>0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9">
        <v>0</v>
      </c>
    </row>
    <row r="119" spans="1:11" ht="14" x14ac:dyDescent="0.3">
      <c r="A119" s="27" t="s">
        <v>34</v>
      </c>
      <c r="B119" s="18">
        <v>11</v>
      </c>
      <c r="C119" s="18">
        <v>4</v>
      </c>
      <c r="D119" s="18">
        <v>1</v>
      </c>
      <c r="E119" s="18">
        <v>2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9">
        <v>18</v>
      </c>
    </row>
    <row r="120" spans="1:11" ht="14" x14ac:dyDescent="0.3">
      <c r="A120" s="27"/>
      <c r="B120" s="18">
        <v>0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  <c r="K120" s="19">
        <v>0</v>
      </c>
    </row>
    <row r="121" spans="1:11" ht="14" x14ac:dyDescent="0.3">
      <c r="A121" s="27" t="s">
        <v>35</v>
      </c>
      <c r="B121" s="18">
        <v>10</v>
      </c>
      <c r="C121" s="18">
        <v>12</v>
      </c>
      <c r="D121" s="18">
        <v>1</v>
      </c>
      <c r="E121" s="18">
        <v>0</v>
      </c>
      <c r="F121" s="18">
        <v>1</v>
      </c>
      <c r="G121" s="18">
        <v>0</v>
      </c>
      <c r="H121" s="18">
        <v>0</v>
      </c>
      <c r="I121" s="18">
        <v>0</v>
      </c>
      <c r="J121" s="18">
        <v>0</v>
      </c>
      <c r="K121" s="19">
        <v>24</v>
      </c>
    </row>
    <row r="122" spans="1:11" ht="12.5" x14ac:dyDescent="0.25">
      <c r="A122" s="15"/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</row>
    <row r="123" spans="1:11" ht="12.5" x14ac:dyDescent="0.25">
      <c r="A123" s="63" t="s">
        <v>21</v>
      </c>
      <c r="B123" s="63">
        <v>243</v>
      </c>
      <c r="C123" s="63">
        <v>6734</v>
      </c>
      <c r="D123" s="63">
        <v>16</v>
      </c>
      <c r="E123" s="63">
        <v>4</v>
      </c>
      <c r="F123" s="63">
        <v>1</v>
      </c>
      <c r="G123" s="63">
        <v>0</v>
      </c>
      <c r="H123" s="63">
        <v>0</v>
      </c>
      <c r="I123" s="63">
        <v>0</v>
      </c>
      <c r="J123" s="63">
        <v>0</v>
      </c>
      <c r="K123" s="63">
        <v>100</v>
      </c>
    </row>
    <row r="124" spans="1:11" ht="12.5" x14ac:dyDescent="0.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2.5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 spans="1:11" ht="12.5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65" t="s">
        <v>0</v>
      </c>
      <c r="B130" s="66"/>
      <c r="C130" s="66"/>
      <c r="D130" s="66"/>
      <c r="E130" s="66"/>
      <c r="F130" s="2"/>
      <c r="G130" s="2"/>
      <c r="H130" s="2"/>
      <c r="I130" s="2"/>
      <c r="J130" s="2"/>
      <c r="K130" s="2"/>
    </row>
    <row r="131" spans="1:11" ht="14" x14ac:dyDescent="0.3">
      <c r="A131" s="65" t="s">
        <v>1</v>
      </c>
      <c r="B131" s="66"/>
      <c r="C131" s="66"/>
      <c r="D131" s="2"/>
      <c r="E131" s="2"/>
      <c r="F131" s="2"/>
      <c r="G131" s="65" t="s">
        <v>61</v>
      </c>
      <c r="H131" s="66"/>
      <c r="I131" s="66"/>
      <c r="J131" s="1"/>
      <c r="K131" s="2"/>
    </row>
    <row r="132" spans="1:11" ht="14" x14ac:dyDescent="0.3">
      <c r="A132" s="65" t="s">
        <v>3</v>
      </c>
      <c r="B132" s="66"/>
      <c r="C132" s="66"/>
      <c r="D132" s="66"/>
      <c r="E132" s="66"/>
      <c r="F132" s="2"/>
      <c r="G132" s="65" t="s">
        <v>4</v>
      </c>
      <c r="H132" s="66"/>
      <c r="I132" s="66"/>
      <c r="J132" s="66"/>
      <c r="K132" s="2"/>
    </row>
    <row r="133" spans="1:11" ht="14" x14ac:dyDescent="0.3">
      <c r="A133" s="65" t="s">
        <v>5</v>
      </c>
      <c r="B133" s="66"/>
      <c r="C133" s="66"/>
      <c r="D133" s="66"/>
      <c r="E133" s="66"/>
      <c r="F133" s="2"/>
      <c r="G133" s="65" t="s">
        <v>6</v>
      </c>
      <c r="H133" s="66"/>
      <c r="I133" s="66"/>
      <c r="J133" s="6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60" t="s">
        <v>7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2"/>
    </row>
    <row r="136" spans="1:11" ht="14" x14ac:dyDescent="0.3">
      <c r="A136" s="67" t="s">
        <v>8</v>
      </c>
      <c r="B136" s="68"/>
      <c r="C136" s="68"/>
      <c r="D136" s="68"/>
      <c r="E136" s="68"/>
      <c r="F136" s="68"/>
      <c r="G136" s="68"/>
      <c r="H136" s="68"/>
      <c r="I136" s="68"/>
      <c r="J136" s="68"/>
      <c r="K136" s="69"/>
    </row>
    <row r="137" spans="1:11" ht="14" x14ac:dyDescent="0.3">
      <c r="A137" s="4" t="s">
        <v>9</v>
      </c>
      <c r="B137" s="5"/>
      <c r="C137" s="5"/>
      <c r="D137" s="5"/>
      <c r="E137" s="70" t="s">
        <v>10</v>
      </c>
      <c r="F137" s="71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>
        <v>0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59">
        <v>-251</v>
      </c>
    </row>
    <row r="140" spans="1:11" ht="12.5" x14ac:dyDescent="0.25">
      <c r="A140" s="12" t="s">
        <v>23</v>
      </c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0</v>
      </c>
    </row>
    <row r="141" spans="1:11" ht="12.5" x14ac:dyDescent="0.25">
      <c r="A141" s="12"/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4">
        <v>0</v>
      </c>
    </row>
    <row r="142" spans="1:11" ht="14" x14ac:dyDescent="0.3">
      <c r="A142" s="27" t="s">
        <v>24</v>
      </c>
      <c r="B142" s="18">
        <v>6</v>
      </c>
      <c r="C142" s="18">
        <v>12</v>
      </c>
      <c r="D142" s="18">
        <v>2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9">
        <v>20</v>
      </c>
    </row>
    <row r="143" spans="1:11" ht="14" x14ac:dyDescent="0.3">
      <c r="A143" s="27"/>
      <c r="B143" s="18">
        <v>0</v>
      </c>
      <c r="C143" s="18">
        <v>0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9">
        <v>0</v>
      </c>
    </row>
    <row r="144" spans="1:11" ht="14" x14ac:dyDescent="0.3">
      <c r="A144" s="27" t="s">
        <v>25</v>
      </c>
      <c r="B144" s="18">
        <v>2</v>
      </c>
      <c r="C144" s="18">
        <v>4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9">
        <v>6</v>
      </c>
    </row>
    <row r="145" spans="1:11" ht="14" x14ac:dyDescent="0.3">
      <c r="A145" s="27"/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  <c r="K145" s="19">
        <v>0</v>
      </c>
    </row>
    <row r="146" spans="1:11" ht="14" x14ac:dyDescent="0.3">
      <c r="A146" s="27" t="s">
        <v>26</v>
      </c>
      <c r="B146" s="18">
        <v>4</v>
      </c>
      <c r="C146" s="18">
        <v>2</v>
      </c>
      <c r="D146" s="18">
        <v>1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9">
        <v>7</v>
      </c>
    </row>
    <row r="147" spans="1:11" ht="14" x14ac:dyDescent="0.3">
      <c r="A147" s="27"/>
      <c r="B147" s="18">
        <v>0</v>
      </c>
      <c r="C147" s="18">
        <v>0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0</v>
      </c>
      <c r="K147" s="19">
        <v>0</v>
      </c>
    </row>
    <row r="148" spans="1:11" ht="14" x14ac:dyDescent="0.3">
      <c r="A148" s="27" t="s">
        <v>27</v>
      </c>
      <c r="B148" s="18">
        <v>8</v>
      </c>
      <c r="C148" s="18">
        <v>5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9">
        <v>13</v>
      </c>
    </row>
    <row r="149" spans="1:11" ht="14" x14ac:dyDescent="0.3">
      <c r="A149" s="27"/>
      <c r="B149" s="18">
        <v>0</v>
      </c>
      <c r="C149" s="18">
        <v>0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  <c r="K149" s="19">
        <v>0</v>
      </c>
    </row>
    <row r="150" spans="1:11" ht="14" x14ac:dyDescent="0.3">
      <c r="A150" s="27" t="s">
        <v>28</v>
      </c>
      <c r="B150" s="18">
        <v>22</v>
      </c>
      <c r="C150" s="18">
        <v>15</v>
      </c>
      <c r="D150" s="18">
        <v>1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9">
        <v>38</v>
      </c>
    </row>
    <row r="151" spans="1:11" ht="14" x14ac:dyDescent="0.3">
      <c r="A151" s="27"/>
      <c r="B151" s="18">
        <v>0</v>
      </c>
      <c r="C151" s="18">
        <v>0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9">
        <v>0</v>
      </c>
    </row>
    <row r="152" spans="1:11" ht="14" x14ac:dyDescent="0.3">
      <c r="A152" s="27" t="s">
        <v>29</v>
      </c>
      <c r="B152" s="18">
        <v>20</v>
      </c>
      <c r="C152" s="18">
        <v>21</v>
      </c>
      <c r="D152" s="18">
        <v>1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9">
        <v>42</v>
      </c>
    </row>
    <row r="153" spans="1:11" ht="14" x14ac:dyDescent="0.3">
      <c r="A153" s="27"/>
      <c r="B153" s="18">
        <v>0</v>
      </c>
      <c r="C153" s="18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0</v>
      </c>
      <c r="K153" s="19">
        <v>0</v>
      </c>
    </row>
    <row r="154" spans="1:11" ht="14" x14ac:dyDescent="0.3">
      <c r="A154" s="27" t="s">
        <v>30</v>
      </c>
      <c r="B154" s="18">
        <v>20</v>
      </c>
      <c r="C154" s="18">
        <v>31</v>
      </c>
      <c r="D154" s="18">
        <v>4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9">
        <v>55</v>
      </c>
    </row>
    <row r="155" spans="1:11" ht="14" x14ac:dyDescent="0.3">
      <c r="A155" s="27"/>
      <c r="B155" s="18">
        <v>0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9">
        <v>0</v>
      </c>
    </row>
    <row r="156" spans="1:11" ht="14" x14ac:dyDescent="0.3">
      <c r="A156" s="27" t="s">
        <v>31</v>
      </c>
      <c r="B156" s="18">
        <v>28</v>
      </c>
      <c r="C156" s="18">
        <v>21</v>
      </c>
      <c r="D156" s="18">
        <v>3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0</v>
      </c>
      <c r="K156" s="19">
        <v>52</v>
      </c>
    </row>
    <row r="157" spans="1:11" ht="14" x14ac:dyDescent="0.3">
      <c r="A157" s="27"/>
      <c r="B157" s="18">
        <v>0</v>
      </c>
      <c r="C157" s="18">
        <v>0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9">
        <v>0</v>
      </c>
    </row>
    <row r="158" spans="1:11" ht="14" x14ac:dyDescent="0.3">
      <c r="A158" s="27" t="s">
        <v>32</v>
      </c>
      <c r="B158" s="18">
        <v>7</v>
      </c>
      <c r="C158" s="18">
        <v>8</v>
      </c>
      <c r="D158" s="18">
        <v>0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9">
        <v>15</v>
      </c>
    </row>
    <row r="159" spans="1:11" ht="14" x14ac:dyDescent="0.3">
      <c r="A159" s="27"/>
      <c r="B159" s="18">
        <v>0</v>
      </c>
      <c r="C159" s="18">
        <v>0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9">
        <v>0</v>
      </c>
    </row>
    <row r="160" spans="1:11" ht="14" x14ac:dyDescent="0.3">
      <c r="A160" s="27" t="s">
        <v>33</v>
      </c>
      <c r="B160" s="18">
        <v>13</v>
      </c>
      <c r="C160" s="18">
        <v>9</v>
      </c>
      <c r="D160" s="18">
        <v>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9">
        <v>22</v>
      </c>
    </row>
    <row r="161" spans="1:11" ht="14" x14ac:dyDescent="0.3">
      <c r="A161" s="27"/>
      <c r="B161" s="18">
        <v>0</v>
      </c>
      <c r="C161" s="18">
        <v>0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9">
        <v>0</v>
      </c>
    </row>
    <row r="162" spans="1:11" ht="14" x14ac:dyDescent="0.3">
      <c r="A162" s="27" t="s">
        <v>34</v>
      </c>
      <c r="B162" s="18">
        <v>9</v>
      </c>
      <c r="C162" s="18">
        <v>11</v>
      </c>
      <c r="D162" s="18">
        <v>1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0</v>
      </c>
      <c r="K162" s="19">
        <v>21</v>
      </c>
    </row>
    <row r="163" spans="1:11" ht="14" x14ac:dyDescent="0.3">
      <c r="A163" s="27"/>
      <c r="B163" s="18">
        <v>0</v>
      </c>
      <c r="C163" s="18">
        <v>0</v>
      </c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0</v>
      </c>
      <c r="K163" s="19">
        <v>0</v>
      </c>
    </row>
    <row r="164" spans="1:11" ht="14" x14ac:dyDescent="0.3">
      <c r="A164" s="27" t="s">
        <v>35</v>
      </c>
      <c r="B164" s="18">
        <v>22</v>
      </c>
      <c r="C164" s="18">
        <v>36</v>
      </c>
      <c r="D164" s="18">
        <v>2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9">
        <v>60</v>
      </c>
    </row>
    <row r="165" spans="1:11" ht="12.5" x14ac:dyDescent="0.25">
      <c r="A165" s="15"/>
      <c r="B165" s="14">
        <v>0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</row>
    <row r="166" spans="1:11" ht="12.5" x14ac:dyDescent="0.25">
      <c r="A166" s="63" t="s">
        <v>21</v>
      </c>
      <c r="B166" s="63">
        <v>161</v>
      </c>
      <c r="C166" s="63">
        <v>175</v>
      </c>
      <c r="D166" s="63">
        <v>15</v>
      </c>
      <c r="E166" s="63">
        <v>0</v>
      </c>
      <c r="F166" s="63">
        <v>0</v>
      </c>
      <c r="G166" s="63">
        <v>0</v>
      </c>
      <c r="H166" s="63">
        <v>0</v>
      </c>
      <c r="I166" s="63">
        <v>0</v>
      </c>
      <c r="J166" s="63">
        <v>0</v>
      </c>
      <c r="K166" s="63">
        <v>100</v>
      </c>
    </row>
    <row r="167" spans="1:11" ht="12.5" x14ac:dyDescent="0.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</row>
    <row r="168" spans="1:11" ht="12.5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 spans="1:11" ht="12.5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65" t="s">
        <v>0</v>
      </c>
      <c r="B173" s="66"/>
      <c r="C173" s="66"/>
      <c r="D173" s="66"/>
      <c r="E173" s="66"/>
      <c r="F173" s="2"/>
      <c r="G173" s="2"/>
      <c r="H173" s="2"/>
      <c r="I173" s="2"/>
      <c r="J173" s="2"/>
      <c r="K173" s="2"/>
    </row>
    <row r="174" spans="1:11" ht="14" x14ac:dyDescent="0.3">
      <c r="A174" s="65" t="s">
        <v>1</v>
      </c>
      <c r="B174" s="66"/>
      <c r="C174" s="66"/>
      <c r="D174" s="2"/>
      <c r="E174" s="2"/>
      <c r="F174" s="2"/>
      <c r="G174" s="65" t="s">
        <v>117</v>
      </c>
      <c r="H174" s="66"/>
      <c r="I174" s="66"/>
      <c r="J174" s="1"/>
      <c r="K174" s="2"/>
    </row>
    <row r="175" spans="1:11" ht="14" x14ac:dyDescent="0.3">
      <c r="A175" s="65" t="s">
        <v>3</v>
      </c>
      <c r="B175" s="66"/>
      <c r="C175" s="66"/>
      <c r="D175" s="66"/>
      <c r="E175" s="66"/>
      <c r="F175" s="2"/>
      <c r="G175" s="65" t="s">
        <v>4</v>
      </c>
      <c r="H175" s="66"/>
      <c r="I175" s="66"/>
      <c r="J175" s="66"/>
      <c r="K175" s="2"/>
    </row>
    <row r="176" spans="1:11" ht="14" x14ac:dyDescent="0.3">
      <c r="A176" s="65" t="s">
        <v>5</v>
      </c>
      <c r="B176" s="66"/>
      <c r="C176" s="66"/>
      <c r="D176" s="66"/>
      <c r="E176" s="66"/>
      <c r="F176" s="2"/>
      <c r="G176" s="65" t="s">
        <v>6</v>
      </c>
      <c r="H176" s="66"/>
      <c r="I176" s="66"/>
      <c r="J176" s="6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60" t="s">
        <v>7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2"/>
    </row>
    <row r="179" spans="1:11" ht="14" x14ac:dyDescent="0.3">
      <c r="A179" s="67" t="s">
        <v>8</v>
      </c>
      <c r="B179" s="68"/>
      <c r="C179" s="68"/>
      <c r="D179" s="68"/>
      <c r="E179" s="68"/>
      <c r="F179" s="68"/>
      <c r="G179" s="68"/>
      <c r="H179" s="68"/>
      <c r="I179" s="68"/>
      <c r="J179" s="68"/>
      <c r="K179" s="69"/>
    </row>
    <row r="180" spans="1:11" ht="14" x14ac:dyDescent="0.3">
      <c r="A180" s="4" t="s">
        <v>9</v>
      </c>
      <c r="B180" s="5"/>
      <c r="C180" s="5"/>
      <c r="D180" s="5"/>
      <c r="E180" s="70" t="s">
        <v>10</v>
      </c>
      <c r="F180" s="71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2.5" x14ac:dyDescent="0.25">
      <c r="A182" s="9" t="s">
        <v>22</v>
      </c>
      <c r="B182" s="17">
        <v>0</v>
      </c>
      <c r="C182" s="17">
        <v>0</v>
      </c>
      <c r="D182" s="17">
        <v>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1">
        <v>173</v>
      </c>
    </row>
    <row r="183" spans="1:11" ht="12.5" x14ac:dyDescent="0.25">
      <c r="A183" s="12" t="s">
        <v>23</v>
      </c>
      <c r="B183" s="13">
        <v>0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4">
        <v>0</v>
      </c>
    </row>
    <row r="184" spans="1:11" ht="12.5" x14ac:dyDescent="0.25">
      <c r="A184" s="12"/>
      <c r="B184" s="13">
        <v>0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0</v>
      </c>
    </row>
    <row r="185" spans="1:11" ht="14" x14ac:dyDescent="0.3">
      <c r="A185" s="12" t="s">
        <v>24</v>
      </c>
      <c r="B185" s="13">
        <v>7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9">
        <v>7</v>
      </c>
    </row>
    <row r="186" spans="1:11" ht="14" x14ac:dyDescent="0.3">
      <c r="A186" s="12"/>
      <c r="B186" s="13">
        <v>0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9">
        <v>0</v>
      </c>
    </row>
    <row r="187" spans="1:11" ht="14" x14ac:dyDescent="0.3">
      <c r="A187" s="12" t="s">
        <v>25</v>
      </c>
      <c r="B187" s="13">
        <v>7</v>
      </c>
      <c r="C187" s="13">
        <v>1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9">
        <v>8</v>
      </c>
    </row>
    <row r="188" spans="1:11" ht="14" x14ac:dyDescent="0.3">
      <c r="A188" s="12"/>
      <c r="B188" s="13">
        <v>0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9">
        <v>0</v>
      </c>
    </row>
    <row r="189" spans="1:11" ht="14" x14ac:dyDescent="0.3">
      <c r="A189" s="12" t="s">
        <v>26</v>
      </c>
      <c r="B189" s="13">
        <v>13</v>
      </c>
      <c r="C189" s="13">
        <v>2</v>
      </c>
      <c r="D189" s="13">
        <v>1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9">
        <v>16</v>
      </c>
    </row>
    <row r="190" spans="1:11" ht="14" x14ac:dyDescent="0.3">
      <c r="A190" s="12"/>
      <c r="B190" s="13">
        <v>0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9">
        <v>0</v>
      </c>
    </row>
    <row r="191" spans="1:11" ht="14" x14ac:dyDescent="0.3">
      <c r="A191" s="12" t="s">
        <v>27</v>
      </c>
      <c r="B191" s="13">
        <v>27</v>
      </c>
      <c r="C191" s="13">
        <v>2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9">
        <v>29</v>
      </c>
    </row>
    <row r="192" spans="1:11" ht="14" x14ac:dyDescent="0.3">
      <c r="A192" s="12"/>
      <c r="B192" s="13">
        <v>0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9">
        <v>0</v>
      </c>
    </row>
    <row r="193" spans="1:11" ht="14" x14ac:dyDescent="0.3">
      <c r="A193" s="12" t="s">
        <v>28</v>
      </c>
      <c r="B193" s="13">
        <v>48</v>
      </c>
      <c r="C193" s="13">
        <v>3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 s="19">
        <v>51</v>
      </c>
    </row>
    <row r="194" spans="1:11" ht="14" x14ac:dyDescent="0.3">
      <c r="A194" s="12"/>
      <c r="B194" s="13">
        <v>0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9">
        <v>0</v>
      </c>
    </row>
    <row r="195" spans="1:11" ht="14" x14ac:dyDescent="0.3">
      <c r="A195" s="12" t="s">
        <v>29</v>
      </c>
      <c r="B195" s="13">
        <v>112</v>
      </c>
      <c r="C195" s="13">
        <v>53</v>
      </c>
      <c r="D195" s="13">
        <v>1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9">
        <v>166</v>
      </c>
    </row>
    <row r="196" spans="1:11" ht="14" x14ac:dyDescent="0.3">
      <c r="A196" s="12"/>
      <c r="B196" s="13">
        <v>0</v>
      </c>
      <c r="C196" s="13">
        <v>0</v>
      </c>
      <c r="D196" s="13">
        <v>0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9">
        <v>0</v>
      </c>
    </row>
    <row r="197" spans="1:11" ht="14" x14ac:dyDescent="0.3">
      <c r="A197" s="12" t="s">
        <v>30</v>
      </c>
      <c r="B197" s="13">
        <v>64</v>
      </c>
      <c r="C197" s="13">
        <v>34</v>
      </c>
      <c r="D197" s="13">
        <v>0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9">
        <v>98</v>
      </c>
    </row>
    <row r="198" spans="1:11" ht="14" x14ac:dyDescent="0.3">
      <c r="A198" s="12"/>
      <c r="B198" s="13">
        <v>0</v>
      </c>
      <c r="C198" s="13">
        <v>0</v>
      </c>
      <c r="D198" s="13">
        <v>0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9">
        <v>0</v>
      </c>
    </row>
    <row r="199" spans="1:11" ht="14" x14ac:dyDescent="0.3">
      <c r="A199" s="12" t="s">
        <v>31</v>
      </c>
      <c r="B199" s="13">
        <v>44</v>
      </c>
      <c r="C199" s="13">
        <v>15</v>
      </c>
      <c r="D199" s="13">
        <v>2</v>
      </c>
      <c r="E199" s="13">
        <v>1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9">
        <v>62</v>
      </c>
    </row>
    <row r="200" spans="1:11" ht="14" x14ac:dyDescent="0.3">
      <c r="A200" s="12"/>
      <c r="B200" s="13">
        <v>0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9">
        <v>0</v>
      </c>
    </row>
    <row r="201" spans="1:11" ht="14" x14ac:dyDescent="0.3">
      <c r="A201" s="12" t="s">
        <v>32</v>
      </c>
      <c r="B201" s="13">
        <v>28</v>
      </c>
      <c r="C201" s="13">
        <v>5</v>
      </c>
      <c r="D201" s="13">
        <v>0</v>
      </c>
      <c r="E201" s="13">
        <v>0</v>
      </c>
      <c r="F201" s="13">
        <v>1</v>
      </c>
      <c r="G201" s="13">
        <v>0</v>
      </c>
      <c r="H201" s="13">
        <v>0</v>
      </c>
      <c r="I201" s="13">
        <v>0</v>
      </c>
      <c r="J201" s="13">
        <v>0</v>
      </c>
      <c r="K201" s="19">
        <v>34</v>
      </c>
    </row>
    <row r="202" spans="1:11" ht="14" x14ac:dyDescent="0.3">
      <c r="A202" s="12"/>
      <c r="B202" s="13">
        <v>0</v>
      </c>
      <c r="C202" s="13">
        <v>0</v>
      </c>
      <c r="D202" s="13">
        <v>0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9">
        <v>0</v>
      </c>
    </row>
    <row r="203" spans="1:11" ht="15.75" customHeight="1" x14ac:dyDescent="0.3">
      <c r="A203" s="12" t="s">
        <v>33</v>
      </c>
      <c r="B203" s="13">
        <v>12</v>
      </c>
      <c r="C203" s="13">
        <v>1</v>
      </c>
      <c r="D203" s="13">
        <v>2</v>
      </c>
      <c r="E203" s="13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9">
        <v>15</v>
      </c>
    </row>
    <row r="204" spans="1:11" ht="15.75" customHeight="1" x14ac:dyDescent="0.3">
      <c r="A204" s="12"/>
      <c r="B204" s="13">
        <v>0</v>
      </c>
      <c r="C204" s="13">
        <v>0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9">
        <v>0</v>
      </c>
    </row>
    <row r="205" spans="1:11" ht="15.75" customHeight="1" x14ac:dyDescent="0.3">
      <c r="A205" s="12" t="s">
        <v>34</v>
      </c>
      <c r="B205" s="13">
        <v>26</v>
      </c>
      <c r="C205" s="13">
        <v>11</v>
      </c>
      <c r="D205" s="13">
        <v>1</v>
      </c>
      <c r="E205" s="13">
        <v>0</v>
      </c>
      <c r="F205" s="13">
        <v>0</v>
      </c>
      <c r="G205" s="13">
        <v>0</v>
      </c>
      <c r="H205" s="13">
        <v>0</v>
      </c>
      <c r="I205" s="13">
        <v>0</v>
      </c>
      <c r="J205" s="13">
        <v>0</v>
      </c>
      <c r="K205" s="19">
        <v>38</v>
      </c>
    </row>
    <row r="206" spans="1:11" ht="15.75" customHeight="1" x14ac:dyDescent="0.3">
      <c r="A206" s="12"/>
      <c r="B206" s="13">
        <v>0</v>
      </c>
      <c r="C206" s="13">
        <v>0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9">
        <v>0</v>
      </c>
    </row>
    <row r="207" spans="1:11" ht="15.75" customHeight="1" x14ac:dyDescent="0.3">
      <c r="A207" s="12" t="s">
        <v>35</v>
      </c>
      <c r="B207" s="13">
        <v>17</v>
      </c>
      <c r="C207" s="13">
        <v>5</v>
      </c>
      <c r="D207" s="13">
        <v>1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9">
        <v>23</v>
      </c>
    </row>
    <row r="208" spans="1:11" ht="15.75" customHeight="1" x14ac:dyDescent="0.25">
      <c r="A208" s="15"/>
      <c r="B208" s="14">
        <v>0</v>
      </c>
      <c r="C208" s="14">
        <v>0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</row>
    <row r="209" spans="1:11" ht="15.75" customHeight="1" x14ac:dyDescent="0.25">
      <c r="A209" s="63" t="s">
        <v>21</v>
      </c>
      <c r="B209" s="63">
        <v>405</v>
      </c>
      <c r="C209" s="63">
        <v>132</v>
      </c>
      <c r="D209" s="63">
        <v>8</v>
      </c>
      <c r="E209" s="63">
        <v>1</v>
      </c>
      <c r="F209" s="63">
        <v>1</v>
      </c>
      <c r="G209" s="63">
        <v>0</v>
      </c>
      <c r="H209" s="63">
        <v>0</v>
      </c>
      <c r="I209" s="63">
        <v>0</v>
      </c>
      <c r="J209" s="63">
        <v>0</v>
      </c>
      <c r="K209" s="63">
        <v>720</v>
      </c>
    </row>
    <row r="210" spans="1:11" ht="15.75" customHeight="1" x14ac:dyDescent="0.2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</row>
    <row r="211" spans="1:11" ht="15.75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</row>
    <row r="212" spans="1:11" ht="15.75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65" t="s">
        <v>0</v>
      </c>
      <c r="B216" s="66"/>
      <c r="C216" s="66"/>
      <c r="D216" s="66"/>
      <c r="E216" s="66"/>
      <c r="F216" s="2"/>
      <c r="G216" s="2"/>
      <c r="H216" s="2"/>
      <c r="I216" s="2"/>
      <c r="J216" s="2"/>
      <c r="K216" s="2"/>
    </row>
    <row r="217" spans="1:11" ht="15.75" customHeight="1" x14ac:dyDescent="0.3">
      <c r="A217" s="65" t="s">
        <v>1</v>
      </c>
      <c r="B217" s="66"/>
      <c r="C217" s="66"/>
      <c r="D217" s="2"/>
      <c r="E217" s="2"/>
      <c r="F217" s="2"/>
      <c r="G217" s="65" t="s">
        <v>118</v>
      </c>
      <c r="H217" s="66"/>
      <c r="I217" s="66"/>
      <c r="J217" s="1"/>
      <c r="K217" s="2"/>
    </row>
    <row r="218" spans="1:11" ht="15.75" customHeight="1" x14ac:dyDescent="0.3">
      <c r="A218" s="65" t="s">
        <v>3</v>
      </c>
      <c r="B218" s="66"/>
      <c r="C218" s="66"/>
      <c r="D218" s="66"/>
      <c r="E218" s="66"/>
      <c r="F218" s="2"/>
      <c r="G218" s="65" t="s">
        <v>4</v>
      </c>
      <c r="H218" s="66"/>
      <c r="I218" s="66"/>
      <c r="J218" s="66"/>
      <c r="K218" s="2"/>
    </row>
    <row r="219" spans="1:11" ht="15.75" customHeight="1" x14ac:dyDescent="0.3">
      <c r="A219" s="65" t="s">
        <v>5</v>
      </c>
      <c r="B219" s="66"/>
      <c r="C219" s="66"/>
      <c r="D219" s="66"/>
      <c r="E219" s="66"/>
      <c r="F219" s="2"/>
      <c r="G219" s="65" t="s">
        <v>6</v>
      </c>
      <c r="H219" s="66"/>
      <c r="I219" s="66"/>
      <c r="J219" s="6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60" t="s">
        <v>7</v>
      </c>
      <c r="B221" s="61"/>
      <c r="C221" s="61"/>
      <c r="D221" s="61"/>
      <c r="E221" s="61"/>
      <c r="F221" s="61"/>
      <c r="G221" s="61"/>
      <c r="H221" s="61"/>
      <c r="I221" s="61"/>
      <c r="J221" s="61"/>
      <c r="K221" s="62"/>
    </row>
    <row r="222" spans="1:11" ht="15.75" customHeight="1" x14ac:dyDescent="0.3">
      <c r="A222" s="67" t="s">
        <v>8</v>
      </c>
      <c r="B222" s="68"/>
      <c r="C222" s="68"/>
      <c r="D222" s="68"/>
      <c r="E222" s="68"/>
      <c r="F222" s="68"/>
      <c r="G222" s="68"/>
      <c r="H222" s="68"/>
      <c r="I222" s="68"/>
      <c r="J222" s="68"/>
      <c r="K222" s="69"/>
    </row>
    <row r="223" spans="1:11" ht="15.75" customHeight="1" x14ac:dyDescent="0.3">
      <c r="A223" s="4" t="s">
        <v>9</v>
      </c>
      <c r="B223" s="5"/>
      <c r="C223" s="5"/>
      <c r="D223" s="5"/>
      <c r="E223" s="70" t="s">
        <v>10</v>
      </c>
      <c r="F223" s="71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25">
      <c r="A225" s="9" t="s">
        <v>22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1">
        <f>(K10+K53+K96+K139+K182)/5</f>
        <v>-1482.2</v>
      </c>
    </row>
    <row r="226" spans="1:11" ht="15.75" customHeight="1" x14ac:dyDescent="0.25">
      <c r="A226" s="12" t="s">
        <v>23</v>
      </c>
      <c r="B226" s="13"/>
      <c r="C226" s="13"/>
      <c r="D226" s="13"/>
      <c r="E226" s="13"/>
      <c r="F226" s="13"/>
      <c r="G226" s="13"/>
      <c r="H226" s="13"/>
      <c r="I226" s="13"/>
      <c r="J226" s="13"/>
      <c r="K226" s="11">
        <f t="shared" ref="K226:K250" si="0">(K11+K54+K97+K140+K183)/5</f>
        <v>0</v>
      </c>
    </row>
    <row r="227" spans="1:11" ht="15.75" customHeight="1" x14ac:dyDescent="0.25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1">
        <f t="shared" si="0"/>
        <v>0</v>
      </c>
    </row>
    <row r="228" spans="1:11" ht="15.75" customHeight="1" x14ac:dyDescent="0.25">
      <c r="A228" s="12" t="s">
        <v>24</v>
      </c>
      <c r="B228" s="13">
        <f>(B13+B56+B99+B142+B185)/5</f>
        <v>6.2</v>
      </c>
      <c r="C228" s="13">
        <f t="shared" ref="C228:J228" si="1">(C13+C56+C99+C142+C185)/5</f>
        <v>6.8</v>
      </c>
      <c r="D228" s="13">
        <f t="shared" si="1"/>
        <v>0.8</v>
      </c>
      <c r="E228" s="13">
        <f t="shared" si="1"/>
        <v>0</v>
      </c>
      <c r="F228" s="13">
        <f t="shared" si="1"/>
        <v>0</v>
      </c>
      <c r="G228" s="13">
        <f t="shared" si="1"/>
        <v>0</v>
      </c>
      <c r="H228" s="13">
        <f t="shared" si="1"/>
        <v>0</v>
      </c>
      <c r="I228" s="13">
        <f t="shared" si="1"/>
        <v>0</v>
      </c>
      <c r="J228" s="13">
        <f t="shared" si="1"/>
        <v>0</v>
      </c>
      <c r="K228" s="11">
        <f t="shared" si="0"/>
        <v>13.8</v>
      </c>
    </row>
    <row r="229" spans="1:11" ht="15.75" customHeight="1" x14ac:dyDescent="0.25">
      <c r="A229" s="12"/>
      <c r="B229" s="13">
        <f t="shared" ref="B229:J250" si="2">(B14+B57+B100+B143+B186)/5</f>
        <v>0</v>
      </c>
      <c r="C229" s="13">
        <f t="shared" si="2"/>
        <v>0</v>
      </c>
      <c r="D229" s="13">
        <f t="shared" si="2"/>
        <v>0</v>
      </c>
      <c r="E229" s="13">
        <f t="shared" si="2"/>
        <v>0</v>
      </c>
      <c r="F229" s="13">
        <f t="shared" si="2"/>
        <v>0</v>
      </c>
      <c r="G229" s="13">
        <f t="shared" si="2"/>
        <v>0</v>
      </c>
      <c r="H229" s="13">
        <f t="shared" si="2"/>
        <v>0</v>
      </c>
      <c r="I229" s="13">
        <f t="shared" si="2"/>
        <v>0</v>
      </c>
      <c r="J229" s="13">
        <f t="shared" si="2"/>
        <v>0</v>
      </c>
      <c r="K229" s="11">
        <f t="shared" si="0"/>
        <v>0</v>
      </c>
    </row>
    <row r="230" spans="1:11" ht="15.75" customHeight="1" x14ac:dyDescent="0.25">
      <c r="A230" s="12" t="s">
        <v>25</v>
      </c>
      <c r="B230" s="13">
        <f t="shared" si="2"/>
        <v>3.6</v>
      </c>
      <c r="C230" s="13">
        <f t="shared" si="2"/>
        <v>3</v>
      </c>
      <c r="D230" s="13">
        <f t="shared" si="2"/>
        <v>0</v>
      </c>
      <c r="E230" s="13">
        <f t="shared" si="2"/>
        <v>0</v>
      </c>
      <c r="F230" s="13">
        <f t="shared" si="2"/>
        <v>0</v>
      </c>
      <c r="G230" s="13">
        <f t="shared" si="2"/>
        <v>0</v>
      </c>
      <c r="H230" s="13">
        <f t="shared" si="2"/>
        <v>0</v>
      </c>
      <c r="I230" s="13">
        <f t="shared" si="2"/>
        <v>0</v>
      </c>
      <c r="J230" s="13">
        <f t="shared" si="2"/>
        <v>0</v>
      </c>
      <c r="K230" s="11">
        <f t="shared" si="0"/>
        <v>6.6</v>
      </c>
    </row>
    <row r="231" spans="1:11" ht="15.75" customHeight="1" x14ac:dyDescent="0.25">
      <c r="A231" s="12"/>
      <c r="B231" s="13">
        <f t="shared" si="2"/>
        <v>0</v>
      </c>
      <c r="C231" s="13">
        <f t="shared" si="2"/>
        <v>0</v>
      </c>
      <c r="D231" s="13">
        <f t="shared" si="2"/>
        <v>0</v>
      </c>
      <c r="E231" s="13">
        <f t="shared" si="2"/>
        <v>0</v>
      </c>
      <c r="F231" s="13">
        <f t="shared" si="2"/>
        <v>0</v>
      </c>
      <c r="G231" s="13">
        <f t="shared" si="2"/>
        <v>0</v>
      </c>
      <c r="H231" s="13">
        <f t="shared" si="2"/>
        <v>0</v>
      </c>
      <c r="I231" s="13">
        <f t="shared" si="2"/>
        <v>0</v>
      </c>
      <c r="J231" s="13">
        <f t="shared" si="2"/>
        <v>0</v>
      </c>
      <c r="K231" s="11">
        <f t="shared" si="0"/>
        <v>0</v>
      </c>
    </row>
    <row r="232" spans="1:11" ht="15.75" customHeight="1" x14ac:dyDescent="0.25">
      <c r="A232" s="12" t="s">
        <v>26</v>
      </c>
      <c r="B232" s="13">
        <f t="shared" si="2"/>
        <v>6.8</v>
      </c>
      <c r="C232" s="13">
        <f t="shared" si="2"/>
        <v>2.4</v>
      </c>
      <c r="D232" s="13">
        <f t="shared" si="2"/>
        <v>0.6</v>
      </c>
      <c r="E232" s="13">
        <f t="shared" si="2"/>
        <v>0</v>
      </c>
      <c r="F232" s="13">
        <f t="shared" si="2"/>
        <v>0</v>
      </c>
      <c r="G232" s="13">
        <f t="shared" si="2"/>
        <v>0</v>
      </c>
      <c r="H232" s="13">
        <f t="shared" si="2"/>
        <v>0</v>
      </c>
      <c r="I232" s="13">
        <f t="shared" si="2"/>
        <v>0</v>
      </c>
      <c r="J232" s="13">
        <f t="shared" si="2"/>
        <v>0</v>
      </c>
      <c r="K232" s="11">
        <f t="shared" si="0"/>
        <v>9.8000000000000007</v>
      </c>
    </row>
    <row r="233" spans="1:11" ht="15.75" customHeight="1" x14ac:dyDescent="0.25">
      <c r="A233" s="12"/>
      <c r="B233" s="13">
        <f t="shared" si="2"/>
        <v>0</v>
      </c>
      <c r="C233" s="13">
        <f t="shared" si="2"/>
        <v>0</v>
      </c>
      <c r="D233" s="13">
        <f t="shared" si="2"/>
        <v>0</v>
      </c>
      <c r="E233" s="13">
        <f t="shared" si="2"/>
        <v>0</v>
      </c>
      <c r="F233" s="13">
        <f t="shared" si="2"/>
        <v>0</v>
      </c>
      <c r="G233" s="13">
        <f t="shared" si="2"/>
        <v>0</v>
      </c>
      <c r="H233" s="13">
        <f t="shared" si="2"/>
        <v>0</v>
      </c>
      <c r="I233" s="13">
        <f t="shared" si="2"/>
        <v>0</v>
      </c>
      <c r="J233" s="13">
        <f t="shared" si="2"/>
        <v>0</v>
      </c>
      <c r="K233" s="11">
        <f t="shared" si="0"/>
        <v>0</v>
      </c>
    </row>
    <row r="234" spans="1:11" ht="15.75" customHeight="1" x14ac:dyDescent="0.25">
      <c r="A234" s="12" t="s">
        <v>27</v>
      </c>
      <c r="B234" s="13">
        <f t="shared" si="2"/>
        <v>11.6</v>
      </c>
      <c r="C234" s="13">
        <f t="shared" si="2"/>
        <v>3.2</v>
      </c>
      <c r="D234" s="13">
        <f t="shared" si="2"/>
        <v>0.2</v>
      </c>
      <c r="E234" s="13">
        <f t="shared" si="2"/>
        <v>0</v>
      </c>
      <c r="F234" s="13">
        <f t="shared" si="2"/>
        <v>0</v>
      </c>
      <c r="G234" s="13">
        <f t="shared" si="2"/>
        <v>0</v>
      </c>
      <c r="H234" s="13">
        <f t="shared" si="2"/>
        <v>0</v>
      </c>
      <c r="I234" s="13">
        <f t="shared" si="2"/>
        <v>0</v>
      </c>
      <c r="J234" s="13">
        <f t="shared" si="2"/>
        <v>0</v>
      </c>
      <c r="K234" s="11">
        <f t="shared" si="0"/>
        <v>15</v>
      </c>
    </row>
    <row r="235" spans="1:11" ht="15.75" customHeight="1" x14ac:dyDescent="0.25">
      <c r="A235" s="12"/>
      <c r="B235" s="13">
        <f t="shared" si="2"/>
        <v>0</v>
      </c>
      <c r="C235" s="13">
        <f t="shared" si="2"/>
        <v>0</v>
      </c>
      <c r="D235" s="13">
        <f t="shared" si="2"/>
        <v>0</v>
      </c>
      <c r="E235" s="13">
        <f t="shared" si="2"/>
        <v>0</v>
      </c>
      <c r="F235" s="13">
        <f t="shared" si="2"/>
        <v>0</v>
      </c>
      <c r="G235" s="13">
        <f t="shared" si="2"/>
        <v>0</v>
      </c>
      <c r="H235" s="13">
        <f t="shared" si="2"/>
        <v>0</v>
      </c>
      <c r="I235" s="13">
        <f t="shared" si="2"/>
        <v>0</v>
      </c>
      <c r="J235" s="13">
        <f t="shared" si="2"/>
        <v>0</v>
      </c>
      <c r="K235" s="11">
        <f t="shared" si="0"/>
        <v>0</v>
      </c>
    </row>
    <row r="236" spans="1:11" ht="15.75" customHeight="1" x14ac:dyDescent="0.25">
      <c r="A236" s="12" t="s">
        <v>28</v>
      </c>
      <c r="B236" s="13">
        <f t="shared" si="2"/>
        <v>24.6</v>
      </c>
      <c r="C236" s="13">
        <f t="shared" si="2"/>
        <v>9.6</v>
      </c>
      <c r="D236" s="13">
        <f t="shared" si="2"/>
        <v>0.8</v>
      </c>
      <c r="E236" s="13">
        <f t="shared" si="2"/>
        <v>0</v>
      </c>
      <c r="F236" s="13">
        <f t="shared" si="2"/>
        <v>0</v>
      </c>
      <c r="G236" s="13">
        <f t="shared" si="2"/>
        <v>0</v>
      </c>
      <c r="H236" s="13">
        <f t="shared" si="2"/>
        <v>0</v>
      </c>
      <c r="I236" s="13">
        <f t="shared" si="2"/>
        <v>0</v>
      </c>
      <c r="J236" s="13">
        <f t="shared" si="2"/>
        <v>0</v>
      </c>
      <c r="K236" s="11">
        <f t="shared" si="0"/>
        <v>35</v>
      </c>
    </row>
    <row r="237" spans="1:11" ht="15.75" customHeight="1" x14ac:dyDescent="0.25">
      <c r="A237" s="12"/>
      <c r="B237" s="13">
        <f t="shared" si="2"/>
        <v>0</v>
      </c>
      <c r="C237" s="13">
        <f t="shared" si="2"/>
        <v>0</v>
      </c>
      <c r="D237" s="13">
        <f t="shared" si="2"/>
        <v>0</v>
      </c>
      <c r="E237" s="13">
        <f t="shared" si="2"/>
        <v>0</v>
      </c>
      <c r="F237" s="13">
        <f t="shared" si="2"/>
        <v>0</v>
      </c>
      <c r="G237" s="13">
        <f t="shared" si="2"/>
        <v>0</v>
      </c>
      <c r="H237" s="13">
        <f t="shared" si="2"/>
        <v>0</v>
      </c>
      <c r="I237" s="13">
        <f t="shared" si="2"/>
        <v>0</v>
      </c>
      <c r="J237" s="13">
        <f t="shared" si="2"/>
        <v>0</v>
      </c>
      <c r="K237" s="11">
        <f t="shared" si="0"/>
        <v>0</v>
      </c>
    </row>
    <row r="238" spans="1:11" ht="15.75" customHeight="1" x14ac:dyDescent="0.25">
      <c r="A238" s="12" t="s">
        <v>29</v>
      </c>
      <c r="B238" s="13">
        <f t="shared" si="2"/>
        <v>47.4</v>
      </c>
      <c r="C238" s="13">
        <f t="shared" si="2"/>
        <v>1344.6</v>
      </c>
      <c r="D238" s="13">
        <f t="shared" si="2"/>
        <v>0.6</v>
      </c>
      <c r="E238" s="13">
        <f t="shared" si="2"/>
        <v>0</v>
      </c>
      <c r="F238" s="13">
        <f t="shared" si="2"/>
        <v>0</v>
      </c>
      <c r="G238" s="13">
        <f t="shared" si="2"/>
        <v>0</v>
      </c>
      <c r="H238" s="13">
        <f t="shared" si="2"/>
        <v>0</v>
      </c>
      <c r="I238" s="13">
        <f t="shared" si="2"/>
        <v>0</v>
      </c>
      <c r="J238" s="13">
        <f t="shared" si="2"/>
        <v>0</v>
      </c>
      <c r="K238" s="11">
        <f t="shared" si="0"/>
        <v>1392.6</v>
      </c>
    </row>
    <row r="239" spans="1:11" ht="15.75" customHeight="1" x14ac:dyDescent="0.25">
      <c r="A239" s="12"/>
      <c r="B239" s="13">
        <f t="shared" si="2"/>
        <v>0</v>
      </c>
      <c r="C239" s="13">
        <f t="shared" si="2"/>
        <v>0</v>
      </c>
      <c r="D239" s="13">
        <f t="shared" si="2"/>
        <v>0</v>
      </c>
      <c r="E239" s="13">
        <f t="shared" si="2"/>
        <v>0</v>
      </c>
      <c r="F239" s="13">
        <f t="shared" si="2"/>
        <v>0</v>
      </c>
      <c r="G239" s="13">
        <f t="shared" si="2"/>
        <v>0</v>
      </c>
      <c r="H239" s="13">
        <f t="shared" si="2"/>
        <v>0</v>
      </c>
      <c r="I239" s="13">
        <f t="shared" si="2"/>
        <v>0</v>
      </c>
      <c r="J239" s="13">
        <f t="shared" si="2"/>
        <v>0</v>
      </c>
      <c r="K239" s="11">
        <f t="shared" si="0"/>
        <v>0</v>
      </c>
    </row>
    <row r="240" spans="1:11" ht="15.75" customHeight="1" x14ac:dyDescent="0.25">
      <c r="A240" s="12" t="s">
        <v>30</v>
      </c>
      <c r="B240" s="13">
        <f t="shared" si="2"/>
        <v>35.4</v>
      </c>
      <c r="C240" s="13">
        <f t="shared" si="2"/>
        <v>47</v>
      </c>
      <c r="D240" s="13">
        <f t="shared" si="2"/>
        <v>4.8</v>
      </c>
      <c r="E240" s="13">
        <f t="shared" si="2"/>
        <v>0</v>
      </c>
      <c r="F240" s="13">
        <f t="shared" si="2"/>
        <v>0</v>
      </c>
      <c r="G240" s="13">
        <f t="shared" si="2"/>
        <v>0</v>
      </c>
      <c r="H240" s="13">
        <f t="shared" si="2"/>
        <v>0</v>
      </c>
      <c r="I240" s="13">
        <f t="shared" si="2"/>
        <v>0</v>
      </c>
      <c r="J240" s="13">
        <f t="shared" si="2"/>
        <v>0</v>
      </c>
      <c r="K240" s="11">
        <f t="shared" si="0"/>
        <v>87.2</v>
      </c>
    </row>
    <row r="241" spans="1:11" ht="15.75" customHeight="1" x14ac:dyDescent="0.25">
      <c r="A241" s="12"/>
      <c r="B241" s="13">
        <f t="shared" si="2"/>
        <v>0</v>
      </c>
      <c r="C241" s="13">
        <f t="shared" si="2"/>
        <v>0</v>
      </c>
      <c r="D241" s="13">
        <f t="shared" si="2"/>
        <v>0</v>
      </c>
      <c r="E241" s="13">
        <f t="shared" si="2"/>
        <v>0</v>
      </c>
      <c r="F241" s="13">
        <f t="shared" si="2"/>
        <v>0</v>
      </c>
      <c r="G241" s="13">
        <f t="shared" si="2"/>
        <v>0</v>
      </c>
      <c r="H241" s="13">
        <f t="shared" si="2"/>
        <v>0</v>
      </c>
      <c r="I241" s="13">
        <f t="shared" si="2"/>
        <v>0</v>
      </c>
      <c r="J241" s="13">
        <f t="shared" si="2"/>
        <v>0</v>
      </c>
      <c r="K241" s="11">
        <f t="shared" si="0"/>
        <v>0</v>
      </c>
    </row>
    <row r="242" spans="1:11" ht="15.75" customHeight="1" x14ac:dyDescent="0.25">
      <c r="A242" s="12" t="s">
        <v>31</v>
      </c>
      <c r="B242" s="13">
        <f t="shared" si="2"/>
        <v>30.6</v>
      </c>
      <c r="C242" s="13">
        <f t="shared" si="2"/>
        <v>21</v>
      </c>
      <c r="D242" s="13">
        <f t="shared" si="2"/>
        <v>1.8</v>
      </c>
      <c r="E242" s="13">
        <f t="shared" si="2"/>
        <v>0.8</v>
      </c>
      <c r="F242" s="13">
        <f t="shared" si="2"/>
        <v>0</v>
      </c>
      <c r="G242" s="13">
        <f t="shared" si="2"/>
        <v>0</v>
      </c>
      <c r="H242" s="13">
        <f t="shared" si="2"/>
        <v>0</v>
      </c>
      <c r="I242" s="13">
        <f t="shared" si="2"/>
        <v>0</v>
      </c>
      <c r="J242" s="13">
        <f t="shared" si="2"/>
        <v>0</v>
      </c>
      <c r="K242" s="11">
        <f t="shared" si="0"/>
        <v>54.2</v>
      </c>
    </row>
    <row r="243" spans="1:11" ht="15.75" customHeight="1" x14ac:dyDescent="0.25">
      <c r="A243" s="12"/>
      <c r="B243" s="13">
        <f t="shared" si="2"/>
        <v>0</v>
      </c>
      <c r="C243" s="13">
        <f t="shared" si="2"/>
        <v>0</v>
      </c>
      <c r="D243" s="13">
        <f t="shared" si="2"/>
        <v>0</v>
      </c>
      <c r="E243" s="13">
        <f t="shared" si="2"/>
        <v>0</v>
      </c>
      <c r="F243" s="13">
        <f t="shared" si="2"/>
        <v>0</v>
      </c>
      <c r="G243" s="13">
        <f t="shared" si="2"/>
        <v>0</v>
      </c>
      <c r="H243" s="13">
        <f t="shared" si="2"/>
        <v>0</v>
      </c>
      <c r="I243" s="13">
        <f t="shared" si="2"/>
        <v>0</v>
      </c>
      <c r="J243" s="13">
        <f t="shared" si="2"/>
        <v>0</v>
      </c>
      <c r="K243" s="11">
        <f t="shared" si="0"/>
        <v>0</v>
      </c>
    </row>
    <row r="244" spans="1:11" ht="15.75" customHeight="1" x14ac:dyDescent="0.25">
      <c r="A244" s="12" t="s">
        <v>32</v>
      </c>
      <c r="B244" s="13">
        <f t="shared" si="2"/>
        <v>10.8</v>
      </c>
      <c r="C244" s="13">
        <f t="shared" si="2"/>
        <v>6.6</v>
      </c>
      <c r="D244" s="13">
        <f t="shared" si="2"/>
        <v>0</v>
      </c>
      <c r="E244" s="13">
        <f t="shared" si="2"/>
        <v>0.2</v>
      </c>
      <c r="F244" s="13">
        <f t="shared" si="2"/>
        <v>0.4</v>
      </c>
      <c r="G244" s="13">
        <f t="shared" si="2"/>
        <v>0</v>
      </c>
      <c r="H244" s="13">
        <f t="shared" si="2"/>
        <v>0</v>
      </c>
      <c r="I244" s="13">
        <f t="shared" si="2"/>
        <v>0</v>
      </c>
      <c r="J244" s="13">
        <f t="shared" si="2"/>
        <v>0</v>
      </c>
      <c r="K244" s="11">
        <f t="shared" si="0"/>
        <v>18</v>
      </c>
    </row>
    <row r="245" spans="1:11" ht="15.75" customHeight="1" x14ac:dyDescent="0.25">
      <c r="A245" s="12"/>
      <c r="B245" s="13">
        <f t="shared" si="2"/>
        <v>0</v>
      </c>
      <c r="C245" s="13">
        <f t="shared" si="2"/>
        <v>0</v>
      </c>
      <c r="D245" s="13">
        <f t="shared" si="2"/>
        <v>0</v>
      </c>
      <c r="E245" s="13">
        <f t="shared" si="2"/>
        <v>0</v>
      </c>
      <c r="F245" s="13">
        <f t="shared" si="2"/>
        <v>0</v>
      </c>
      <c r="G245" s="13">
        <f t="shared" si="2"/>
        <v>0</v>
      </c>
      <c r="H245" s="13">
        <f t="shared" si="2"/>
        <v>0</v>
      </c>
      <c r="I245" s="13">
        <f t="shared" si="2"/>
        <v>0</v>
      </c>
      <c r="J245" s="13">
        <f t="shared" si="2"/>
        <v>0</v>
      </c>
      <c r="K245" s="11">
        <f t="shared" si="0"/>
        <v>0</v>
      </c>
    </row>
    <row r="246" spans="1:11" ht="15.75" customHeight="1" x14ac:dyDescent="0.25">
      <c r="A246" s="12" t="s">
        <v>33</v>
      </c>
      <c r="B246" s="13">
        <f t="shared" si="2"/>
        <v>9.4</v>
      </c>
      <c r="C246" s="13">
        <f t="shared" si="2"/>
        <v>6</v>
      </c>
      <c r="D246" s="13">
        <f t="shared" si="2"/>
        <v>0.8</v>
      </c>
      <c r="E246" s="13">
        <f t="shared" si="2"/>
        <v>0.2</v>
      </c>
      <c r="F246" s="13">
        <f t="shared" si="2"/>
        <v>0</v>
      </c>
      <c r="G246" s="13">
        <f t="shared" si="2"/>
        <v>0</v>
      </c>
      <c r="H246" s="13">
        <f t="shared" si="2"/>
        <v>0</v>
      </c>
      <c r="I246" s="13">
        <f t="shared" si="2"/>
        <v>0</v>
      </c>
      <c r="J246" s="13">
        <f t="shared" si="2"/>
        <v>0</v>
      </c>
      <c r="K246" s="11">
        <f t="shared" si="0"/>
        <v>16.399999999999999</v>
      </c>
    </row>
    <row r="247" spans="1:11" ht="15.75" customHeight="1" x14ac:dyDescent="0.25">
      <c r="A247" s="12"/>
      <c r="B247" s="13">
        <f t="shared" si="2"/>
        <v>0</v>
      </c>
      <c r="C247" s="13">
        <f t="shared" si="2"/>
        <v>0</v>
      </c>
      <c r="D247" s="13">
        <f t="shared" si="2"/>
        <v>0</v>
      </c>
      <c r="E247" s="13">
        <f t="shared" si="2"/>
        <v>0</v>
      </c>
      <c r="F247" s="13">
        <f t="shared" si="2"/>
        <v>0</v>
      </c>
      <c r="G247" s="13">
        <f t="shared" si="2"/>
        <v>0</v>
      </c>
      <c r="H247" s="13">
        <f t="shared" si="2"/>
        <v>0</v>
      </c>
      <c r="I247" s="13">
        <f t="shared" si="2"/>
        <v>0</v>
      </c>
      <c r="J247" s="13">
        <f t="shared" si="2"/>
        <v>0</v>
      </c>
      <c r="K247" s="11">
        <f t="shared" si="0"/>
        <v>0</v>
      </c>
    </row>
    <row r="248" spans="1:11" ht="15.75" customHeight="1" x14ac:dyDescent="0.25">
      <c r="A248" s="12" t="s">
        <v>34</v>
      </c>
      <c r="B248" s="13">
        <f t="shared" si="2"/>
        <v>11.2</v>
      </c>
      <c r="C248" s="13">
        <f t="shared" si="2"/>
        <v>8.8000000000000007</v>
      </c>
      <c r="D248" s="13">
        <f t="shared" si="2"/>
        <v>1</v>
      </c>
      <c r="E248" s="13">
        <f t="shared" si="2"/>
        <v>0.4</v>
      </c>
      <c r="F248" s="13">
        <f t="shared" si="2"/>
        <v>0</v>
      </c>
      <c r="G248" s="13">
        <f t="shared" si="2"/>
        <v>0</v>
      </c>
      <c r="H248" s="13">
        <f t="shared" si="2"/>
        <v>0</v>
      </c>
      <c r="I248" s="13">
        <f t="shared" si="2"/>
        <v>0</v>
      </c>
      <c r="J248" s="13">
        <f t="shared" si="2"/>
        <v>0</v>
      </c>
      <c r="K248" s="11">
        <f t="shared" si="0"/>
        <v>21.4</v>
      </c>
    </row>
    <row r="249" spans="1:11" ht="15.75" customHeight="1" x14ac:dyDescent="0.25">
      <c r="A249" s="12"/>
      <c r="B249" s="13">
        <f t="shared" si="2"/>
        <v>0</v>
      </c>
      <c r="C249" s="13">
        <f t="shared" si="2"/>
        <v>0</v>
      </c>
      <c r="D249" s="13">
        <f t="shared" si="2"/>
        <v>0</v>
      </c>
      <c r="E249" s="13">
        <f t="shared" si="2"/>
        <v>0</v>
      </c>
      <c r="F249" s="13">
        <f t="shared" si="2"/>
        <v>0</v>
      </c>
      <c r="G249" s="13">
        <f t="shared" si="2"/>
        <v>0</v>
      </c>
      <c r="H249" s="13">
        <f t="shared" si="2"/>
        <v>0</v>
      </c>
      <c r="I249" s="13">
        <f t="shared" si="2"/>
        <v>0</v>
      </c>
      <c r="J249" s="13">
        <f t="shared" si="2"/>
        <v>0</v>
      </c>
      <c r="K249" s="11">
        <f t="shared" si="0"/>
        <v>0</v>
      </c>
    </row>
    <row r="250" spans="1:11" ht="15.75" customHeight="1" x14ac:dyDescent="0.25">
      <c r="A250" s="12" t="s">
        <v>35</v>
      </c>
      <c r="B250" s="13">
        <f t="shared" si="2"/>
        <v>15.6</v>
      </c>
      <c r="C250" s="13">
        <f t="shared" si="2"/>
        <v>19.2</v>
      </c>
      <c r="D250" s="13">
        <f t="shared" si="2"/>
        <v>1.2</v>
      </c>
      <c r="E250" s="13">
        <f t="shared" si="2"/>
        <v>0</v>
      </c>
      <c r="F250" s="13">
        <f t="shared" si="2"/>
        <v>0.2</v>
      </c>
      <c r="G250" s="13">
        <f t="shared" si="2"/>
        <v>0</v>
      </c>
      <c r="H250" s="13">
        <f t="shared" si="2"/>
        <v>0</v>
      </c>
      <c r="I250" s="13">
        <f t="shared" si="2"/>
        <v>0</v>
      </c>
      <c r="J250" s="13">
        <f t="shared" si="2"/>
        <v>0</v>
      </c>
      <c r="K250" s="11">
        <f t="shared" si="0"/>
        <v>36.200000000000003</v>
      </c>
    </row>
    <row r="251" spans="1:11" ht="15.75" customHeight="1" x14ac:dyDescent="0.25">
      <c r="A251" s="15"/>
      <c r="B251" s="14"/>
      <c r="C251" s="14"/>
      <c r="D251" s="14"/>
      <c r="E251" s="14"/>
      <c r="F251" s="14"/>
      <c r="G251" s="14"/>
      <c r="H251" s="14"/>
      <c r="I251" s="14"/>
      <c r="J251" s="14"/>
      <c r="K251" s="14"/>
    </row>
    <row r="252" spans="1:11" ht="15.75" customHeight="1" x14ac:dyDescent="0.25">
      <c r="A252" s="63" t="s">
        <v>21</v>
      </c>
      <c r="B252" s="63">
        <f>SUM(B228:B250)</f>
        <v>213.2</v>
      </c>
      <c r="C252" s="63">
        <f t="shared" ref="C252:J252" si="3">SUM(C228:C250)</f>
        <v>1478.1999999999998</v>
      </c>
      <c r="D252" s="63">
        <f t="shared" si="3"/>
        <v>12.6</v>
      </c>
      <c r="E252" s="63">
        <f t="shared" si="3"/>
        <v>1.6</v>
      </c>
      <c r="F252" s="63">
        <f t="shared" si="3"/>
        <v>0.60000000000000009</v>
      </c>
      <c r="G252" s="63">
        <f t="shared" si="3"/>
        <v>0</v>
      </c>
      <c r="H252" s="63">
        <f t="shared" si="3"/>
        <v>0</v>
      </c>
      <c r="I252" s="63">
        <f t="shared" si="3"/>
        <v>0</v>
      </c>
      <c r="J252" s="63">
        <f t="shared" si="3"/>
        <v>0</v>
      </c>
      <c r="K252" s="63">
        <f>SUM(K225:K251)</f>
        <v>223.99999999999972</v>
      </c>
    </row>
    <row r="253" spans="1:11" ht="15.75" customHeight="1" x14ac:dyDescent="0.2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</row>
  </sheetData>
  <mergeCells count="126">
    <mergeCell ref="A218:E218"/>
    <mergeCell ref="G218:J218"/>
    <mergeCell ref="A219:E219"/>
    <mergeCell ref="G219:J219"/>
    <mergeCell ref="A221:K221"/>
    <mergeCell ref="A222:K222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A50:K50"/>
    <mergeCell ref="E51:F51"/>
    <mergeCell ref="A80:A81"/>
    <mergeCell ref="B80:B81"/>
    <mergeCell ref="C80:C81"/>
    <mergeCell ref="D80:D81"/>
    <mergeCell ref="E80:E81"/>
    <mergeCell ref="A216:E216"/>
    <mergeCell ref="A217:C217"/>
    <mergeCell ref="G217:I217"/>
    <mergeCell ref="A93:K93"/>
    <mergeCell ref="E94:F94"/>
    <mergeCell ref="F80:F81"/>
    <mergeCell ref="G80:G81"/>
    <mergeCell ref="A87:E87"/>
    <mergeCell ref="A88:C88"/>
    <mergeCell ref="G88:I88"/>
    <mergeCell ref="A89:E89"/>
    <mergeCell ref="A90:E90"/>
    <mergeCell ref="J80:J81"/>
    <mergeCell ref="K80:K81"/>
    <mergeCell ref="G166:G167"/>
    <mergeCell ref="H166:H167"/>
    <mergeCell ref="G174:I174"/>
    <mergeCell ref="G175:J175"/>
    <mergeCell ref="G176:J176"/>
    <mergeCell ref="I166:I167"/>
    <mergeCell ref="J166:J167"/>
    <mergeCell ref="A135:K135"/>
    <mergeCell ref="A136:K136"/>
    <mergeCell ref="E137:F137"/>
    <mergeCell ref="A166:A167"/>
    <mergeCell ref="B166:B167"/>
    <mergeCell ref="C166:C167"/>
    <mergeCell ref="D166:D167"/>
    <mergeCell ref="K166:K167"/>
    <mergeCell ref="E166:E167"/>
    <mergeCell ref="F166:F167"/>
    <mergeCell ref="A173:E173"/>
    <mergeCell ref="A174:C174"/>
    <mergeCell ref="A175:E175"/>
    <mergeCell ref="A176:E176"/>
    <mergeCell ref="A178:K178"/>
    <mergeCell ref="F209:F210"/>
    <mergeCell ref="G209:G210"/>
    <mergeCell ref="H209:H210"/>
    <mergeCell ref="I209:I210"/>
    <mergeCell ref="J209:J210"/>
    <mergeCell ref="K209:K210"/>
    <mergeCell ref="A179:K179"/>
    <mergeCell ref="E180:F180"/>
    <mergeCell ref="A209:A210"/>
    <mergeCell ref="B209:B210"/>
    <mergeCell ref="C209:C210"/>
    <mergeCell ref="D209:D210"/>
    <mergeCell ref="E209:E210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G45:I45"/>
    <mergeCell ref="G46:J46"/>
    <mergeCell ref="G47:J47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4:E44"/>
    <mergeCell ref="A45:C45"/>
    <mergeCell ref="A46:E46"/>
    <mergeCell ref="A47:E47"/>
    <mergeCell ref="A49:K49"/>
    <mergeCell ref="H80:H81"/>
    <mergeCell ref="I80:I81"/>
    <mergeCell ref="A130:E130"/>
    <mergeCell ref="A131:C131"/>
    <mergeCell ref="G131:I131"/>
    <mergeCell ref="A132:E132"/>
    <mergeCell ref="G132:J132"/>
    <mergeCell ref="A133:E133"/>
    <mergeCell ref="G133:J133"/>
    <mergeCell ref="H123:H124"/>
    <mergeCell ref="I123:I124"/>
    <mergeCell ref="J123:J124"/>
    <mergeCell ref="K123:K124"/>
    <mergeCell ref="A123:A124"/>
    <mergeCell ref="B123:B124"/>
    <mergeCell ref="C123:C124"/>
    <mergeCell ref="D123:D124"/>
    <mergeCell ref="E123:E124"/>
    <mergeCell ref="F123:F124"/>
    <mergeCell ref="G123:G124"/>
    <mergeCell ref="G89:J89"/>
    <mergeCell ref="G90:J90"/>
    <mergeCell ref="A92:K9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253"/>
  <sheetViews>
    <sheetView topLeftCell="A237" workbookViewId="0">
      <selection activeCell="K252" sqref="K252:K253"/>
    </sheetView>
  </sheetViews>
  <sheetFormatPr defaultColWidth="12.6328125" defaultRowHeight="15.75" customHeight="1" x14ac:dyDescent="0.25"/>
  <sheetData>
    <row r="1" spans="1:11" ht="14" x14ac:dyDescent="0.3">
      <c r="A1" s="65" t="s">
        <v>0</v>
      </c>
      <c r="B1" s="66"/>
      <c r="C1" s="66"/>
      <c r="D1" s="66"/>
      <c r="E1" s="66"/>
      <c r="F1" s="2"/>
      <c r="G1" s="2"/>
      <c r="H1" s="2"/>
      <c r="I1" s="2"/>
      <c r="J1" s="2"/>
      <c r="K1" s="2"/>
    </row>
    <row r="2" spans="1:11" ht="14" x14ac:dyDescent="0.3">
      <c r="A2" s="65" t="s">
        <v>1</v>
      </c>
      <c r="B2" s="66"/>
      <c r="C2" s="66"/>
      <c r="D2" s="2"/>
      <c r="E2" s="2"/>
      <c r="F2" s="2"/>
      <c r="G2" s="65" t="s">
        <v>62</v>
      </c>
      <c r="H2" s="66"/>
      <c r="I2" s="66"/>
      <c r="J2" s="1"/>
      <c r="K2" s="2"/>
    </row>
    <row r="3" spans="1:11" ht="14" x14ac:dyDescent="0.3">
      <c r="A3" s="65" t="s">
        <v>3</v>
      </c>
      <c r="B3" s="66"/>
      <c r="C3" s="66"/>
      <c r="D3" s="66"/>
      <c r="E3" s="66"/>
      <c r="F3" s="2"/>
      <c r="G3" s="65" t="s">
        <v>4</v>
      </c>
      <c r="H3" s="66"/>
      <c r="I3" s="66"/>
      <c r="J3" s="66"/>
      <c r="K3" s="2"/>
    </row>
    <row r="4" spans="1:11" ht="14" x14ac:dyDescent="0.3">
      <c r="A4" s="65" t="s">
        <v>5</v>
      </c>
      <c r="B4" s="66"/>
      <c r="C4" s="66"/>
      <c r="D4" s="66"/>
      <c r="E4" s="66"/>
      <c r="F4" s="2"/>
      <c r="G4" s="65" t="s">
        <v>6</v>
      </c>
      <c r="H4" s="66"/>
      <c r="I4" s="66"/>
      <c r="J4" s="6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60" t="s">
        <v>7</v>
      </c>
      <c r="B6" s="61"/>
      <c r="C6" s="61"/>
      <c r="D6" s="61"/>
      <c r="E6" s="61"/>
      <c r="F6" s="61"/>
      <c r="G6" s="61"/>
      <c r="H6" s="61"/>
      <c r="I6" s="61"/>
      <c r="J6" s="61"/>
      <c r="K6" s="62"/>
    </row>
    <row r="7" spans="1:11" ht="14" x14ac:dyDescent="0.3">
      <c r="A7" s="67" t="s">
        <v>8</v>
      </c>
      <c r="B7" s="68"/>
      <c r="C7" s="68"/>
      <c r="D7" s="68"/>
      <c r="E7" s="68"/>
      <c r="F7" s="68"/>
      <c r="G7" s="68"/>
      <c r="H7" s="68"/>
      <c r="I7" s="68"/>
      <c r="J7" s="68"/>
      <c r="K7" s="69"/>
    </row>
    <row r="8" spans="1:11" ht="14" x14ac:dyDescent="0.3">
      <c r="A8" s="4" t="s">
        <v>9</v>
      </c>
      <c r="B8" s="5"/>
      <c r="C8" s="5"/>
      <c r="D8" s="5"/>
      <c r="E8" s="70" t="s">
        <v>10</v>
      </c>
      <c r="F8" s="71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59">
        <v>-230</v>
      </c>
    </row>
    <row r="11" spans="1:11" ht="15.75" customHeight="1" x14ac:dyDescent="0.25">
      <c r="A11" s="12" t="s">
        <v>23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4">
        <v>0</v>
      </c>
    </row>
    <row r="12" spans="1:11" ht="15.75" customHeight="1" x14ac:dyDescent="0.25">
      <c r="A12" s="12"/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0</v>
      </c>
    </row>
    <row r="13" spans="1:11" ht="14" x14ac:dyDescent="0.3">
      <c r="A13" s="27" t="s">
        <v>24</v>
      </c>
      <c r="B13" s="18">
        <v>1</v>
      </c>
      <c r="C13" s="18">
        <v>1</v>
      </c>
      <c r="D13" s="18">
        <v>2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9">
        <v>4</v>
      </c>
    </row>
    <row r="14" spans="1:11" ht="14" x14ac:dyDescent="0.3">
      <c r="A14" s="27"/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9">
        <v>0</v>
      </c>
    </row>
    <row r="15" spans="1:11" ht="14" x14ac:dyDescent="0.3">
      <c r="A15" s="27" t="s">
        <v>25</v>
      </c>
      <c r="B15" s="18">
        <v>2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9">
        <v>2</v>
      </c>
    </row>
    <row r="16" spans="1:11" ht="14" x14ac:dyDescent="0.3">
      <c r="A16" s="27"/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9">
        <v>0</v>
      </c>
    </row>
    <row r="17" spans="1:11" ht="14" x14ac:dyDescent="0.3">
      <c r="A17" s="27" t="s">
        <v>26</v>
      </c>
      <c r="B17" s="18">
        <v>1</v>
      </c>
      <c r="C17" s="18">
        <v>1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9">
        <v>2</v>
      </c>
    </row>
    <row r="18" spans="1:11" ht="14" x14ac:dyDescent="0.3">
      <c r="A18" s="27"/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9">
        <v>0</v>
      </c>
    </row>
    <row r="19" spans="1:11" ht="14" x14ac:dyDescent="0.3">
      <c r="A19" s="27" t="s">
        <v>27</v>
      </c>
      <c r="B19" s="18">
        <v>7</v>
      </c>
      <c r="C19" s="18">
        <v>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9">
        <v>8</v>
      </c>
    </row>
    <row r="20" spans="1:11" ht="14" x14ac:dyDescent="0.3">
      <c r="A20" s="27"/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9">
        <v>0</v>
      </c>
    </row>
    <row r="21" spans="1:11" ht="14" x14ac:dyDescent="0.3">
      <c r="A21" s="27" t="s">
        <v>28</v>
      </c>
      <c r="B21" s="18">
        <v>13</v>
      </c>
      <c r="C21" s="18">
        <v>18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9">
        <v>31</v>
      </c>
    </row>
    <row r="22" spans="1:11" ht="14" x14ac:dyDescent="0.3">
      <c r="A22" s="27"/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9">
        <v>0</v>
      </c>
    </row>
    <row r="23" spans="1:11" ht="14" x14ac:dyDescent="0.3">
      <c r="A23" s="27" t="s">
        <v>29</v>
      </c>
      <c r="B23" s="18">
        <v>27</v>
      </c>
      <c r="C23" s="18">
        <v>66</v>
      </c>
      <c r="D23" s="18">
        <v>7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9">
        <v>100</v>
      </c>
    </row>
    <row r="24" spans="1:11" ht="14" x14ac:dyDescent="0.3">
      <c r="A24" s="27"/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9">
        <v>0</v>
      </c>
    </row>
    <row r="25" spans="1:11" ht="14" x14ac:dyDescent="0.3">
      <c r="A25" s="27" t="s">
        <v>30</v>
      </c>
      <c r="B25" s="18">
        <v>32</v>
      </c>
      <c r="C25" s="18">
        <v>70</v>
      </c>
      <c r="D25" s="18">
        <v>9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9">
        <v>111</v>
      </c>
    </row>
    <row r="26" spans="1:11" ht="14" x14ac:dyDescent="0.3">
      <c r="A26" s="27"/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9">
        <v>0</v>
      </c>
    </row>
    <row r="27" spans="1:11" ht="14" x14ac:dyDescent="0.3">
      <c r="A27" s="27" t="s">
        <v>31</v>
      </c>
      <c r="B27" s="18">
        <v>13</v>
      </c>
      <c r="C27" s="18">
        <v>35</v>
      </c>
      <c r="D27" s="18">
        <v>2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9">
        <v>50</v>
      </c>
    </row>
    <row r="28" spans="1:11" ht="14" x14ac:dyDescent="0.3">
      <c r="A28" s="27"/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9">
        <v>0</v>
      </c>
    </row>
    <row r="29" spans="1:11" ht="14" x14ac:dyDescent="0.3">
      <c r="A29" s="27" t="s">
        <v>32</v>
      </c>
      <c r="B29" s="18">
        <v>3</v>
      </c>
      <c r="C29" s="18">
        <v>2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9">
        <v>5</v>
      </c>
    </row>
    <row r="30" spans="1:11" ht="14" x14ac:dyDescent="0.3">
      <c r="A30" s="27"/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9">
        <v>0</v>
      </c>
    </row>
    <row r="31" spans="1:11" ht="14" x14ac:dyDescent="0.3">
      <c r="A31" s="27" t="s">
        <v>33</v>
      </c>
      <c r="B31" s="18">
        <v>3</v>
      </c>
      <c r="C31" s="18">
        <v>2</v>
      </c>
      <c r="D31" s="18">
        <v>1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9">
        <v>6</v>
      </c>
    </row>
    <row r="32" spans="1:11" ht="14" x14ac:dyDescent="0.3">
      <c r="A32" s="27"/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9">
        <v>0</v>
      </c>
    </row>
    <row r="33" spans="1:11" ht="14" x14ac:dyDescent="0.3">
      <c r="A33" s="27" t="s">
        <v>34</v>
      </c>
      <c r="B33" s="18">
        <v>0</v>
      </c>
      <c r="C33" s="18">
        <v>6</v>
      </c>
      <c r="D33" s="18">
        <v>1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9">
        <v>7</v>
      </c>
    </row>
    <row r="34" spans="1:11" ht="14" x14ac:dyDescent="0.3">
      <c r="A34" s="27"/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9">
        <v>0</v>
      </c>
    </row>
    <row r="35" spans="1:11" ht="14" x14ac:dyDescent="0.3">
      <c r="A35" s="27" t="s">
        <v>35</v>
      </c>
      <c r="B35" s="18">
        <v>4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9">
        <v>4</v>
      </c>
    </row>
    <row r="36" spans="1:11" ht="12.5" x14ac:dyDescent="0.25">
      <c r="A36" s="15"/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</row>
    <row r="37" spans="1:11" ht="12.5" x14ac:dyDescent="0.25">
      <c r="A37" s="63" t="s">
        <v>21</v>
      </c>
      <c r="B37" s="63">
        <v>106</v>
      </c>
      <c r="C37" s="63">
        <v>202</v>
      </c>
      <c r="D37" s="63">
        <v>22</v>
      </c>
      <c r="E37" s="63">
        <v>0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100</v>
      </c>
    </row>
    <row r="38" spans="1:11" ht="12.5" x14ac:dyDescent="0.2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1:11" ht="12.5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1:11" ht="12.5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65" t="s">
        <v>0</v>
      </c>
      <c r="B44" s="66"/>
      <c r="C44" s="66"/>
      <c r="D44" s="66"/>
      <c r="E44" s="66"/>
      <c r="F44" s="2"/>
      <c r="G44" s="2"/>
      <c r="H44" s="2"/>
      <c r="I44" s="2"/>
      <c r="J44" s="2"/>
      <c r="K44" s="2"/>
    </row>
    <row r="45" spans="1:11" ht="14" x14ac:dyDescent="0.3">
      <c r="A45" s="65" t="s">
        <v>1</v>
      </c>
      <c r="B45" s="66"/>
      <c r="C45" s="66"/>
      <c r="D45" s="2"/>
      <c r="E45" s="2"/>
      <c r="F45" s="2"/>
      <c r="G45" s="65" t="s">
        <v>63</v>
      </c>
      <c r="H45" s="66"/>
      <c r="I45" s="66"/>
      <c r="J45" s="1"/>
      <c r="K45" s="2"/>
    </row>
    <row r="46" spans="1:11" ht="14" x14ac:dyDescent="0.3">
      <c r="A46" s="65" t="s">
        <v>3</v>
      </c>
      <c r="B46" s="66"/>
      <c r="C46" s="66"/>
      <c r="D46" s="66"/>
      <c r="E46" s="66"/>
      <c r="F46" s="2"/>
      <c r="G46" s="65" t="s">
        <v>4</v>
      </c>
      <c r="H46" s="66"/>
      <c r="I46" s="66"/>
      <c r="J46" s="66"/>
      <c r="K46" s="2"/>
    </row>
    <row r="47" spans="1:11" ht="14" x14ac:dyDescent="0.3">
      <c r="A47" s="65" t="s">
        <v>5</v>
      </c>
      <c r="B47" s="66"/>
      <c r="C47" s="66"/>
      <c r="D47" s="66"/>
      <c r="E47" s="66"/>
      <c r="F47" s="2"/>
      <c r="G47" s="65" t="s">
        <v>6</v>
      </c>
      <c r="H47" s="66"/>
      <c r="I47" s="66"/>
      <c r="J47" s="6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60" t="s">
        <v>7</v>
      </c>
      <c r="B49" s="61"/>
      <c r="C49" s="61"/>
      <c r="D49" s="61"/>
      <c r="E49" s="61"/>
      <c r="F49" s="61"/>
      <c r="G49" s="61"/>
      <c r="H49" s="61"/>
      <c r="I49" s="61"/>
      <c r="J49" s="61"/>
      <c r="K49" s="62"/>
    </row>
    <row r="50" spans="1:11" ht="14" x14ac:dyDescent="0.3">
      <c r="A50" s="67" t="s">
        <v>8</v>
      </c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" x14ac:dyDescent="0.3">
      <c r="A51" s="4" t="s">
        <v>9</v>
      </c>
      <c r="B51" s="5"/>
      <c r="C51" s="5"/>
      <c r="D51" s="5"/>
      <c r="E51" s="70" t="s">
        <v>10</v>
      </c>
      <c r="F51" s="71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59">
        <v>-248</v>
      </c>
    </row>
    <row r="54" spans="1:11" ht="12.5" x14ac:dyDescent="0.25">
      <c r="A54" s="12" t="s">
        <v>23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0</v>
      </c>
    </row>
    <row r="55" spans="1:11" ht="12.5" x14ac:dyDescent="0.25">
      <c r="A55" s="12"/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4">
        <v>0</v>
      </c>
    </row>
    <row r="56" spans="1:11" ht="14" x14ac:dyDescent="0.3">
      <c r="A56" s="27" t="s">
        <v>24</v>
      </c>
      <c r="B56" s="18">
        <v>1</v>
      </c>
      <c r="C56" s="18">
        <v>1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9">
        <v>2</v>
      </c>
    </row>
    <row r="57" spans="1:11" ht="14" x14ac:dyDescent="0.3">
      <c r="A57" s="27"/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9">
        <v>0</v>
      </c>
    </row>
    <row r="58" spans="1:11" ht="14" x14ac:dyDescent="0.3">
      <c r="A58" s="27" t="s">
        <v>25</v>
      </c>
      <c r="B58" s="18">
        <v>4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9">
        <v>4</v>
      </c>
    </row>
    <row r="59" spans="1:11" ht="14" x14ac:dyDescent="0.3">
      <c r="A59" s="27"/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9">
        <v>0</v>
      </c>
    </row>
    <row r="60" spans="1:11" ht="14" x14ac:dyDescent="0.3">
      <c r="A60" s="27" t="s">
        <v>26</v>
      </c>
      <c r="B60" s="18">
        <v>4</v>
      </c>
      <c r="C60" s="18">
        <v>4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9">
        <v>8</v>
      </c>
    </row>
    <row r="61" spans="1:11" ht="14" x14ac:dyDescent="0.3">
      <c r="A61" s="27"/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9">
        <v>0</v>
      </c>
    </row>
    <row r="62" spans="1:11" ht="14" x14ac:dyDescent="0.3">
      <c r="A62" s="27" t="s">
        <v>27</v>
      </c>
      <c r="B62" s="18">
        <v>11</v>
      </c>
      <c r="C62" s="18">
        <v>8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9">
        <v>19</v>
      </c>
    </row>
    <row r="63" spans="1:11" ht="14" x14ac:dyDescent="0.3">
      <c r="A63" s="27"/>
      <c r="B63" s="18">
        <v>0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9">
        <v>0</v>
      </c>
    </row>
    <row r="64" spans="1:11" ht="14" x14ac:dyDescent="0.3">
      <c r="A64" s="27" t="s">
        <v>28</v>
      </c>
      <c r="B64" s="18">
        <v>18</v>
      </c>
      <c r="C64" s="18">
        <v>17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9">
        <v>35</v>
      </c>
    </row>
    <row r="65" spans="1:11" ht="14" x14ac:dyDescent="0.3">
      <c r="A65" s="27"/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9">
        <v>0</v>
      </c>
    </row>
    <row r="66" spans="1:11" ht="14" x14ac:dyDescent="0.3">
      <c r="A66" s="27" t="s">
        <v>29</v>
      </c>
      <c r="B66" s="18">
        <v>43</v>
      </c>
      <c r="C66" s="18">
        <v>42</v>
      </c>
      <c r="D66" s="18">
        <v>2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9">
        <v>87</v>
      </c>
    </row>
    <row r="67" spans="1:11" ht="14" x14ac:dyDescent="0.3">
      <c r="A67" s="27"/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9">
        <v>0</v>
      </c>
    </row>
    <row r="68" spans="1:11" ht="14" x14ac:dyDescent="0.3">
      <c r="A68" s="27" t="s">
        <v>30</v>
      </c>
      <c r="B68" s="18">
        <v>27</v>
      </c>
      <c r="C68" s="18">
        <v>82</v>
      </c>
      <c r="D68" s="18">
        <v>3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9">
        <v>112</v>
      </c>
    </row>
    <row r="69" spans="1:11" ht="14" x14ac:dyDescent="0.3">
      <c r="A69" s="27"/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9">
        <v>0</v>
      </c>
    </row>
    <row r="70" spans="1:11" ht="14" x14ac:dyDescent="0.3">
      <c r="A70" s="27" t="s">
        <v>31</v>
      </c>
      <c r="B70" s="18">
        <v>16</v>
      </c>
      <c r="C70" s="18">
        <v>32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9">
        <v>48</v>
      </c>
    </row>
    <row r="71" spans="1:11" ht="14" x14ac:dyDescent="0.3">
      <c r="A71" s="27"/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9">
        <v>0</v>
      </c>
    </row>
    <row r="72" spans="1:11" ht="14" x14ac:dyDescent="0.3">
      <c r="A72" s="27" t="s">
        <v>32</v>
      </c>
      <c r="B72" s="18">
        <v>7</v>
      </c>
      <c r="C72" s="18">
        <v>2</v>
      </c>
      <c r="D72" s="18">
        <v>1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9">
        <v>10</v>
      </c>
    </row>
    <row r="73" spans="1:11" ht="14" x14ac:dyDescent="0.3">
      <c r="A73" s="27"/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9">
        <v>0</v>
      </c>
    </row>
    <row r="74" spans="1:11" ht="14" x14ac:dyDescent="0.3">
      <c r="A74" s="27" t="s">
        <v>33</v>
      </c>
      <c r="B74" s="18">
        <v>3</v>
      </c>
      <c r="C74" s="18">
        <v>4</v>
      </c>
      <c r="D74" s="18">
        <v>1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9">
        <v>8</v>
      </c>
    </row>
    <row r="75" spans="1:11" ht="14" x14ac:dyDescent="0.3">
      <c r="A75" s="27"/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9">
        <v>0</v>
      </c>
    </row>
    <row r="76" spans="1:11" ht="14" x14ac:dyDescent="0.3">
      <c r="A76" s="27" t="s">
        <v>34</v>
      </c>
      <c r="B76" s="18">
        <v>5</v>
      </c>
      <c r="C76" s="18">
        <v>3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9">
        <v>8</v>
      </c>
    </row>
    <row r="77" spans="1:11" ht="14" x14ac:dyDescent="0.3">
      <c r="A77" s="27"/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9">
        <v>0</v>
      </c>
    </row>
    <row r="78" spans="1:11" ht="14" x14ac:dyDescent="0.3">
      <c r="A78" s="27" t="s">
        <v>35</v>
      </c>
      <c r="B78" s="18">
        <v>4</v>
      </c>
      <c r="C78" s="18">
        <v>1</v>
      </c>
      <c r="D78" s="18">
        <v>2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9">
        <v>7</v>
      </c>
    </row>
    <row r="79" spans="1:11" ht="12.5" x14ac:dyDescent="0.25">
      <c r="A79" s="15"/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</row>
    <row r="80" spans="1:11" ht="12.5" x14ac:dyDescent="0.25">
      <c r="A80" s="63" t="s">
        <v>21</v>
      </c>
      <c r="B80" s="63">
        <v>143</v>
      </c>
      <c r="C80" s="63">
        <v>196</v>
      </c>
      <c r="D80" s="63">
        <v>9</v>
      </c>
      <c r="E80" s="63">
        <v>0</v>
      </c>
      <c r="F80" s="63">
        <v>0</v>
      </c>
      <c r="G80" s="63">
        <v>0</v>
      </c>
      <c r="H80" s="63">
        <v>0</v>
      </c>
      <c r="I80" s="63">
        <v>0</v>
      </c>
      <c r="J80" s="63">
        <v>0</v>
      </c>
      <c r="K80" s="63">
        <v>100</v>
      </c>
    </row>
    <row r="81" spans="1:11" ht="12.5" x14ac:dyDescent="0.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</row>
    <row r="82" spans="1:11" ht="12.5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</row>
    <row r="83" spans="1:11" ht="12.5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65" t="s">
        <v>0</v>
      </c>
      <c r="B87" s="66"/>
      <c r="C87" s="66"/>
      <c r="D87" s="66"/>
      <c r="E87" s="66"/>
      <c r="F87" s="2"/>
      <c r="G87" s="2"/>
      <c r="H87" s="2"/>
      <c r="I87" s="2"/>
      <c r="J87" s="2"/>
      <c r="K87" s="2"/>
    </row>
    <row r="88" spans="1:11" ht="14" x14ac:dyDescent="0.3">
      <c r="A88" s="65" t="s">
        <v>1</v>
      </c>
      <c r="B88" s="66"/>
      <c r="C88" s="66"/>
      <c r="D88" s="2"/>
      <c r="E88" s="2"/>
      <c r="F88" s="2"/>
      <c r="G88" s="65" t="s">
        <v>64</v>
      </c>
      <c r="H88" s="66"/>
      <c r="I88" s="66"/>
      <c r="J88" s="1"/>
      <c r="K88" s="2"/>
    </row>
    <row r="89" spans="1:11" ht="14" x14ac:dyDescent="0.3">
      <c r="A89" s="65" t="s">
        <v>3</v>
      </c>
      <c r="B89" s="66"/>
      <c r="C89" s="66"/>
      <c r="D89" s="66"/>
      <c r="E89" s="66"/>
      <c r="F89" s="2"/>
      <c r="G89" s="65" t="s">
        <v>4</v>
      </c>
      <c r="H89" s="66"/>
      <c r="I89" s="66"/>
      <c r="J89" s="66"/>
      <c r="K89" s="2"/>
    </row>
    <row r="90" spans="1:11" ht="14" x14ac:dyDescent="0.3">
      <c r="A90" s="65" t="s">
        <v>5</v>
      </c>
      <c r="B90" s="66"/>
      <c r="C90" s="66"/>
      <c r="D90" s="66"/>
      <c r="E90" s="66"/>
      <c r="F90" s="2"/>
      <c r="G90" s="65" t="s">
        <v>6</v>
      </c>
      <c r="H90" s="66"/>
      <c r="I90" s="66"/>
      <c r="J90" s="6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60" t="s">
        <v>7</v>
      </c>
      <c r="B92" s="61"/>
      <c r="C92" s="61"/>
      <c r="D92" s="61"/>
      <c r="E92" s="61"/>
      <c r="F92" s="61"/>
      <c r="G92" s="61"/>
      <c r="H92" s="61"/>
      <c r="I92" s="61"/>
      <c r="J92" s="61"/>
      <c r="K92" s="62"/>
    </row>
    <row r="93" spans="1:11" ht="14" x14ac:dyDescent="0.3">
      <c r="A93" s="67" t="s">
        <v>8</v>
      </c>
      <c r="B93" s="68"/>
      <c r="C93" s="68"/>
      <c r="D93" s="68"/>
      <c r="E93" s="68"/>
      <c r="F93" s="68"/>
      <c r="G93" s="68"/>
      <c r="H93" s="68"/>
      <c r="I93" s="68"/>
      <c r="J93" s="68"/>
      <c r="K93" s="69"/>
    </row>
    <row r="94" spans="1:11" ht="14" x14ac:dyDescent="0.3">
      <c r="A94" s="4" t="s">
        <v>9</v>
      </c>
      <c r="B94" s="5"/>
      <c r="C94" s="5"/>
      <c r="D94" s="5"/>
      <c r="E94" s="70" t="s">
        <v>10</v>
      </c>
      <c r="F94" s="71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9" t="s">
        <v>22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59">
        <v>-396</v>
      </c>
    </row>
    <row r="97" spans="1:11" ht="12.5" x14ac:dyDescent="0.25">
      <c r="A97" s="12" t="s">
        <v>23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4">
        <v>0</v>
      </c>
    </row>
    <row r="98" spans="1:11" ht="12.5" x14ac:dyDescent="0.25">
      <c r="A98" s="12"/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0</v>
      </c>
    </row>
    <row r="99" spans="1:11" ht="14" x14ac:dyDescent="0.3">
      <c r="A99" s="27" t="s">
        <v>24</v>
      </c>
      <c r="B99" s="18">
        <v>4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9">
        <v>4</v>
      </c>
    </row>
    <row r="100" spans="1:11" ht="14" x14ac:dyDescent="0.3">
      <c r="A100" s="27"/>
      <c r="B100" s="18">
        <v>0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  <c r="K100" s="19">
        <v>0</v>
      </c>
    </row>
    <row r="101" spans="1:11" ht="14" x14ac:dyDescent="0.3">
      <c r="A101" s="27" t="s">
        <v>25</v>
      </c>
      <c r="B101" s="18">
        <v>8</v>
      </c>
      <c r="C101" s="18">
        <v>1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9">
        <v>9</v>
      </c>
    </row>
    <row r="102" spans="1:11" ht="14" x14ac:dyDescent="0.3">
      <c r="A102" s="27"/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9">
        <v>0</v>
      </c>
    </row>
    <row r="103" spans="1:11" ht="14" x14ac:dyDescent="0.3">
      <c r="A103" s="27" t="s">
        <v>26</v>
      </c>
      <c r="B103" s="18">
        <v>4</v>
      </c>
      <c r="C103" s="18">
        <v>4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9">
        <v>8</v>
      </c>
    </row>
    <row r="104" spans="1:11" ht="14" x14ac:dyDescent="0.3">
      <c r="A104" s="27"/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9">
        <v>0</v>
      </c>
    </row>
    <row r="105" spans="1:11" ht="14" x14ac:dyDescent="0.3">
      <c r="A105" s="27" t="s">
        <v>27</v>
      </c>
      <c r="B105" s="18">
        <v>12</v>
      </c>
      <c r="C105" s="18">
        <v>3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9">
        <v>15</v>
      </c>
    </row>
    <row r="106" spans="1:11" ht="14" x14ac:dyDescent="0.3">
      <c r="A106" s="27"/>
      <c r="B106" s="18">
        <v>0</v>
      </c>
      <c r="C106" s="18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9">
        <v>0</v>
      </c>
    </row>
    <row r="107" spans="1:11" ht="14" x14ac:dyDescent="0.3">
      <c r="A107" s="27" t="s">
        <v>28</v>
      </c>
      <c r="B107" s="18">
        <v>33</v>
      </c>
      <c r="C107" s="18">
        <v>14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9">
        <v>47</v>
      </c>
    </row>
    <row r="108" spans="1:11" ht="14" x14ac:dyDescent="0.3">
      <c r="A108" s="27"/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9">
        <v>0</v>
      </c>
    </row>
    <row r="109" spans="1:11" ht="14" x14ac:dyDescent="0.3">
      <c r="A109" s="27" t="s">
        <v>29</v>
      </c>
      <c r="B109" s="18">
        <v>68</v>
      </c>
      <c r="C109" s="18">
        <v>57</v>
      </c>
      <c r="D109" s="18">
        <v>5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9">
        <v>130</v>
      </c>
    </row>
    <row r="110" spans="1:11" ht="14" x14ac:dyDescent="0.3">
      <c r="A110" s="27"/>
      <c r="B110" s="18">
        <v>0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9">
        <v>0</v>
      </c>
    </row>
    <row r="111" spans="1:11" ht="14" x14ac:dyDescent="0.3">
      <c r="A111" s="27" t="s">
        <v>30</v>
      </c>
      <c r="B111" s="18">
        <v>57</v>
      </c>
      <c r="C111" s="18">
        <v>96</v>
      </c>
      <c r="D111" s="18">
        <v>15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9">
        <v>168</v>
      </c>
    </row>
    <row r="112" spans="1:11" ht="14" x14ac:dyDescent="0.3">
      <c r="A112" s="27"/>
      <c r="B112" s="18">
        <v>0</v>
      </c>
      <c r="C112" s="18">
        <v>0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9">
        <v>0</v>
      </c>
    </row>
    <row r="113" spans="1:11" ht="14" x14ac:dyDescent="0.3">
      <c r="A113" s="27" t="s">
        <v>31</v>
      </c>
      <c r="B113" s="18">
        <v>33</v>
      </c>
      <c r="C113" s="18">
        <v>26</v>
      </c>
      <c r="D113" s="18">
        <v>1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9">
        <v>60</v>
      </c>
    </row>
    <row r="114" spans="1:11" ht="14" x14ac:dyDescent="0.3">
      <c r="A114" s="27"/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9">
        <v>0</v>
      </c>
    </row>
    <row r="115" spans="1:11" ht="14" x14ac:dyDescent="0.3">
      <c r="A115" s="27" t="s">
        <v>32</v>
      </c>
      <c r="B115" s="18">
        <v>7</v>
      </c>
      <c r="C115" s="18">
        <v>5</v>
      </c>
      <c r="D115" s="18">
        <v>3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9">
        <v>15</v>
      </c>
    </row>
    <row r="116" spans="1:11" ht="14" x14ac:dyDescent="0.3">
      <c r="A116" s="27"/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9">
        <v>0</v>
      </c>
    </row>
    <row r="117" spans="1:11" ht="14" x14ac:dyDescent="0.3">
      <c r="A117" s="27" t="s">
        <v>33</v>
      </c>
      <c r="B117" s="18">
        <v>11</v>
      </c>
      <c r="C117" s="18">
        <v>6</v>
      </c>
      <c r="D117" s="18">
        <v>1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9">
        <v>18</v>
      </c>
    </row>
    <row r="118" spans="1:11" ht="14" x14ac:dyDescent="0.3">
      <c r="A118" s="27"/>
      <c r="B118" s="18">
        <v>0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9">
        <v>0</v>
      </c>
    </row>
    <row r="119" spans="1:11" ht="14" x14ac:dyDescent="0.3">
      <c r="A119" s="27" t="s">
        <v>34</v>
      </c>
      <c r="B119" s="18">
        <v>5</v>
      </c>
      <c r="C119" s="18">
        <v>2</v>
      </c>
      <c r="D119" s="18">
        <v>1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9">
        <v>8</v>
      </c>
    </row>
    <row r="120" spans="1:11" ht="14" x14ac:dyDescent="0.3">
      <c r="A120" s="27"/>
      <c r="B120" s="18">
        <v>0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  <c r="K120" s="19">
        <v>0</v>
      </c>
    </row>
    <row r="121" spans="1:11" ht="14" x14ac:dyDescent="0.3">
      <c r="A121" s="27" t="s">
        <v>35</v>
      </c>
      <c r="B121" s="18">
        <v>10</v>
      </c>
      <c r="C121" s="18">
        <v>4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9">
        <v>14</v>
      </c>
    </row>
    <row r="122" spans="1:11" ht="12.5" x14ac:dyDescent="0.25">
      <c r="A122" s="15"/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</row>
    <row r="123" spans="1:11" ht="12.5" x14ac:dyDescent="0.25">
      <c r="A123" s="63" t="s">
        <v>21</v>
      </c>
      <c r="B123" s="63">
        <v>252</v>
      </c>
      <c r="C123" s="63">
        <v>218</v>
      </c>
      <c r="D123" s="63">
        <v>26</v>
      </c>
      <c r="E123" s="63">
        <v>0</v>
      </c>
      <c r="F123" s="63">
        <v>0</v>
      </c>
      <c r="G123" s="63">
        <v>0</v>
      </c>
      <c r="H123" s="63">
        <v>0</v>
      </c>
      <c r="I123" s="63">
        <v>0</v>
      </c>
      <c r="J123" s="63">
        <v>0</v>
      </c>
      <c r="K123" s="63">
        <v>100</v>
      </c>
    </row>
    <row r="124" spans="1:11" ht="12.5" x14ac:dyDescent="0.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2.5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 spans="1:11" ht="12.5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65" t="s">
        <v>0</v>
      </c>
      <c r="B130" s="66"/>
      <c r="C130" s="66"/>
      <c r="D130" s="66"/>
      <c r="E130" s="66"/>
      <c r="F130" s="2"/>
      <c r="G130" s="2"/>
      <c r="H130" s="2"/>
      <c r="I130" s="2"/>
      <c r="J130" s="2"/>
      <c r="K130" s="2"/>
    </row>
    <row r="131" spans="1:11" ht="14" x14ac:dyDescent="0.3">
      <c r="A131" s="65" t="s">
        <v>1</v>
      </c>
      <c r="B131" s="66"/>
      <c r="C131" s="66"/>
      <c r="D131" s="2"/>
      <c r="E131" s="2"/>
      <c r="F131" s="2"/>
      <c r="G131" s="65" t="s">
        <v>65</v>
      </c>
      <c r="H131" s="66"/>
      <c r="I131" s="66"/>
      <c r="J131" s="1"/>
      <c r="K131" s="2"/>
    </row>
    <row r="132" spans="1:11" ht="14" x14ac:dyDescent="0.3">
      <c r="A132" s="65" t="s">
        <v>3</v>
      </c>
      <c r="B132" s="66"/>
      <c r="C132" s="66"/>
      <c r="D132" s="66"/>
      <c r="E132" s="66"/>
      <c r="F132" s="2"/>
      <c r="G132" s="65" t="s">
        <v>4</v>
      </c>
      <c r="H132" s="66"/>
      <c r="I132" s="66"/>
      <c r="J132" s="66"/>
      <c r="K132" s="2"/>
    </row>
    <row r="133" spans="1:11" ht="14" x14ac:dyDescent="0.3">
      <c r="A133" s="65" t="s">
        <v>5</v>
      </c>
      <c r="B133" s="66"/>
      <c r="C133" s="66"/>
      <c r="D133" s="66"/>
      <c r="E133" s="66"/>
      <c r="F133" s="2"/>
      <c r="G133" s="65" t="s">
        <v>6</v>
      </c>
      <c r="H133" s="66"/>
      <c r="I133" s="66"/>
      <c r="J133" s="6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60" t="s">
        <v>7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2"/>
    </row>
    <row r="136" spans="1:11" ht="14" x14ac:dyDescent="0.3">
      <c r="A136" s="67" t="s">
        <v>8</v>
      </c>
      <c r="B136" s="68"/>
      <c r="C136" s="68"/>
      <c r="D136" s="68"/>
      <c r="E136" s="68"/>
      <c r="F136" s="68"/>
      <c r="G136" s="68"/>
      <c r="H136" s="68"/>
      <c r="I136" s="68"/>
      <c r="J136" s="68"/>
      <c r="K136" s="69"/>
    </row>
    <row r="137" spans="1:11" ht="14" x14ac:dyDescent="0.3">
      <c r="A137" s="4" t="s">
        <v>9</v>
      </c>
      <c r="B137" s="5"/>
      <c r="C137" s="5"/>
      <c r="D137" s="5"/>
      <c r="E137" s="70" t="s">
        <v>10</v>
      </c>
      <c r="F137" s="71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>
        <v>0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59">
        <v>-248</v>
      </c>
    </row>
    <row r="140" spans="1:11" ht="12.5" x14ac:dyDescent="0.25">
      <c r="A140" s="12" t="s">
        <v>23</v>
      </c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0</v>
      </c>
    </row>
    <row r="141" spans="1:11" ht="12.5" x14ac:dyDescent="0.25">
      <c r="A141" s="12"/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4">
        <v>0</v>
      </c>
    </row>
    <row r="142" spans="1:11" ht="14" x14ac:dyDescent="0.3">
      <c r="A142" s="27" t="s">
        <v>24</v>
      </c>
      <c r="B142" s="18">
        <v>1</v>
      </c>
      <c r="C142" s="18">
        <v>1</v>
      </c>
      <c r="D142" s="18">
        <v>0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9">
        <v>2</v>
      </c>
    </row>
    <row r="143" spans="1:11" ht="14" x14ac:dyDescent="0.3">
      <c r="A143" s="27"/>
      <c r="B143" s="18">
        <v>0</v>
      </c>
      <c r="C143" s="18">
        <v>0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9">
        <v>0</v>
      </c>
    </row>
    <row r="144" spans="1:11" ht="14" x14ac:dyDescent="0.3">
      <c r="A144" s="27" t="s">
        <v>25</v>
      </c>
      <c r="B144" s="18">
        <v>4</v>
      </c>
      <c r="C144" s="18">
        <v>0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9">
        <v>4</v>
      </c>
    </row>
    <row r="145" spans="1:11" ht="14" x14ac:dyDescent="0.3">
      <c r="A145" s="27"/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  <c r="K145" s="19">
        <v>0</v>
      </c>
    </row>
    <row r="146" spans="1:11" ht="14" x14ac:dyDescent="0.3">
      <c r="A146" s="27" t="s">
        <v>26</v>
      </c>
      <c r="B146" s="18">
        <v>4</v>
      </c>
      <c r="C146" s="18">
        <v>4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9">
        <v>8</v>
      </c>
    </row>
    <row r="147" spans="1:11" ht="14" x14ac:dyDescent="0.3">
      <c r="A147" s="27"/>
      <c r="B147" s="18">
        <v>0</v>
      </c>
      <c r="C147" s="18">
        <v>0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0</v>
      </c>
      <c r="K147" s="19">
        <v>0</v>
      </c>
    </row>
    <row r="148" spans="1:11" ht="14" x14ac:dyDescent="0.3">
      <c r="A148" s="27" t="s">
        <v>27</v>
      </c>
      <c r="B148" s="18">
        <v>11</v>
      </c>
      <c r="C148" s="18">
        <v>8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9">
        <v>19</v>
      </c>
    </row>
    <row r="149" spans="1:11" ht="14" x14ac:dyDescent="0.3">
      <c r="A149" s="27"/>
      <c r="B149" s="18">
        <v>0</v>
      </c>
      <c r="C149" s="18">
        <v>0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  <c r="K149" s="19">
        <v>0</v>
      </c>
    </row>
    <row r="150" spans="1:11" ht="14" x14ac:dyDescent="0.3">
      <c r="A150" s="27" t="s">
        <v>28</v>
      </c>
      <c r="B150" s="18">
        <v>18</v>
      </c>
      <c r="C150" s="18">
        <v>17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9">
        <v>35</v>
      </c>
    </row>
    <row r="151" spans="1:11" ht="14" x14ac:dyDescent="0.3">
      <c r="A151" s="27"/>
      <c r="B151" s="18">
        <v>0</v>
      </c>
      <c r="C151" s="18">
        <v>0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9">
        <v>0</v>
      </c>
    </row>
    <row r="152" spans="1:11" ht="14" x14ac:dyDescent="0.3">
      <c r="A152" s="27" t="s">
        <v>29</v>
      </c>
      <c r="B152" s="18">
        <v>43</v>
      </c>
      <c r="C152" s="18">
        <v>42</v>
      </c>
      <c r="D152" s="18">
        <v>2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9">
        <v>87</v>
      </c>
    </row>
    <row r="153" spans="1:11" ht="14" x14ac:dyDescent="0.3">
      <c r="A153" s="27"/>
      <c r="B153" s="18">
        <v>0</v>
      </c>
      <c r="C153" s="18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0</v>
      </c>
      <c r="K153" s="19">
        <v>0</v>
      </c>
    </row>
    <row r="154" spans="1:11" ht="14" x14ac:dyDescent="0.3">
      <c r="A154" s="27" t="s">
        <v>30</v>
      </c>
      <c r="B154" s="18">
        <v>27</v>
      </c>
      <c r="C154" s="18">
        <v>82</v>
      </c>
      <c r="D154" s="18">
        <v>3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9">
        <v>112</v>
      </c>
    </row>
    <row r="155" spans="1:11" ht="14" x14ac:dyDescent="0.3">
      <c r="A155" s="27"/>
      <c r="B155" s="18">
        <v>0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9">
        <v>0</v>
      </c>
    </row>
    <row r="156" spans="1:11" ht="14" x14ac:dyDescent="0.3">
      <c r="A156" s="27" t="s">
        <v>31</v>
      </c>
      <c r="B156" s="18">
        <v>16</v>
      </c>
      <c r="C156" s="18">
        <v>32</v>
      </c>
      <c r="D156" s="18">
        <v>0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0</v>
      </c>
      <c r="K156" s="19">
        <v>48</v>
      </c>
    </row>
    <row r="157" spans="1:11" ht="14" x14ac:dyDescent="0.3">
      <c r="A157" s="27"/>
      <c r="B157" s="18">
        <v>0</v>
      </c>
      <c r="C157" s="18">
        <v>0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9">
        <v>0</v>
      </c>
    </row>
    <row r="158" spans="1:11" ht="14" x14ac:dyDescent="0.3">
      <c r="A158" s="27" t="s">
        <v>32</v>
      </c>
      <c r="B158" s="18">
        <v>7</v>
      </c>
      <c r="C158" s="18">
        <v>2</v>
      </c>
      <c r="D158" s="18">
        <v>1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9">
        <v>10</v>
      </c>
    </row>
    <row r="159" spans="1:11" ht="14" x14ac:dyDescent="0.3">
      <c r="A159" s="27"/>
      <c r="B159" s="18">
        <v>0</v>
      </c>
      <c r="C159" s="18">
        <v>0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9">
        <v>0</v>
      </c>
    </row>
    <row r="160" spans="1:11" ht="14" x14ac:dyDescent="0.3">
      <c r="A160" s="27" t="s">
        <v>33</v>
      </c>
      <c r="B160" s="18">
        <v>3</v>
      </c>
      <c r="C160" s="18">
        <v>4</v>
      </c>
      <c r="D160" s="18">
        <v>1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9">
        <v>8</v>
      </c>
    </row>
    <row r="161" spans="1:11" ht="14" x14ac:dyDescent="0.3">
      <c r="A161" s="27"/>
      <c r="B161" s="18">
        <v>0</v>
      </c>
      <c r="C161" s="18">
        <v>0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9">
        <v>0</v>
      </c>
    </row>
    <row r="162" spans="1:11" ht="14" x14ac:dyDescent="0.3">
      <c r="A162" s="27" t="s">
        <v>34</v>
      </c>
      <c r="B162" s="18">
        <v>5</v>
      </c>
      <c r="C162" s="18">
        <v>3</v>
      </c>
      <c r="D162" s="18">
        <v>0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0</v>
      </c>
      <c r="K162" s="19">
        <v>8</v>
      </c>
    </row>
    <row r="163" spans="1:11" ht="14" x14ac:dyDescent="0.3">
      <c r="A163" s="27"/>
      <c r="B163" s="18">
        <v>0</v>
      </c>
      <c r="C163" s="18">
        <v>0</v>
      </c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0</v>
      </c>
      <c r="K163" s="19">
        <v>0</v>
      </c>
    </row>
    <row r="164" spans="1:11" ht="14" x14ac:dyDescent="0.3">
      <c r="A164" s="27" t="s">
        <v>35</v>
      </c>
      <c r="B164" s="18">
        <v>4</v>
      </c>
      <c r="C164" s="18">
        <v>1</v>
      </c>
      <c r="D164" s="18">
        <v>2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9">
        <v>7</v>
      </c>
    </row>
    <row r="165" spans="1:11" ht="12.5" x14ac:dyDescent="0.25">
      <c r="A165" s="15"/>
      <c r="B165" s="14">
        <v>0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</row>
    <row r="166" spans="1:11" ht="12.5" x14ac:dyDescent="0.25">
      <c r="A166" s="63" t="s">
        <v>21</v>
      </c>
      <c r="B166" s="63">
        <v>143</v>
      </c>
      <c r="C166" s="63">
        <v>196</v>
      </c>
      <c r="D166" s="63">
        <v>9</v>
      </c>
      <c r="E166" s="63">
        <v>0</v>
      </c>
      <c r="F166" s="63">
        <v>0</v>
      </c>
      <c r="G166" s="63">
        <v>0</v>
      </c>
      <c r="H166" s="63">
        <v>0</v>
      </c>
      <c r="I166" s="63">
        <v>0</v>
      </c>
      <c r="J166" s="63">
        <v>0</v>
      </c>
      <c r="K166" s="63">
        <v>100</v>
      </c>
    </row>
    <row r="167" spans="1:11" ht="12.5" x14ac:dyDescent="0.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</row>
    <row r="168" spans="1:11" ht="12.5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 spans="1:11" ht="12.5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65" t="s">
        <v>0</v>
      </c>
      <c r="B173" s="66"/>
      <c r="C173" s="66"/>
      <c r="D173" s="66"/>
      <c r="E173" s="66"/>
      <c r="F173" s="2"/>
      <c r="G173" s="2"/>
      <c r="H173" s="2"/>
      <c r="I173" s="2"/>
      <c r="J173" s="2"/>
      <c r="K173" s="2"/>
    </row>
    <row r="174" spans="1:11" ht="14" x14ac:dyDescent="0.3">
      <c r="A174" s="65" t="s">
        <v>1</v>
      </c>
      <c r="B174" s="66"/>
      <c r="C174" s="66"/>
      <c r="D174" s="2"/>
      <c r="E174" s="2"/>
      <c r="F174" s="2"/>
      <c r="G174" s="65" t="s">
        <v>66</v>
      </c>
      <c r="H174" s="66"/>
      <c r="I174" s="66"/>
      <c r="J174" s="1"/>
      <c r="K174" s="2"/>
    </row>
    <row r="175" spans="1:11" ht="14" x14ac:dyDescent="0.3">
      <c r="A175" s="65" t="s">
        <v>39</v>
      </c>
      <c r="B175" s="66"/>
      <c r="C175" s="66"/>
      <c r="D175" s="66"/>
      <c r="E175" s="66"/>
      <c r="F175" s="2"/>
      <c r="G175" s="65" t="s">
        <v>4</v>
      </c>
      <c r="H175" s="66"/>
      <c r="I175" s="66"/>
      <c r="J175" s="66"/>
      <c r="K175" s="2"/>
    </row>
    <row r="176" spans="1:11" ht="14" x14ac:dyDescent="0.3">
      <c r="A176" s="65" t="s">
        <v>5</v>
      </c>
      <c r="B176" s="66"/>
      <c r="C176" s="66"/>
      <c r="D176" s="66"/>
      <c r="E176" s="66"/>
      <c r="F176" s="2"/>
      <c r="G176" s="65" t="s">
        <v>6</v>
      </c>
      <c r="H176" s="66"/>
      <c r="I176" s="66"/>
      <c r="J176" s="6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60" t="s">
        <v>7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2"/>
    </row>
    <row r="179" spans="1:11" ht="14" x14ac:dyDescent="0.3">
      <c r="A179" s="67" t="s">
        <v>8</v>
      </c>
      <c r="B179" s="68"/>
      <c r="C179" s="68"/>
      <c r="D179" s="68"/>
      <c r="E179" s="68"/>
      <c r="F179" s="68"/>
      <c r="G179" s="68"/>
      <c r="H179" s="68"/>
      <c r="I179" s="68"/>
      <c r="J179" s="68"/>
      <c r="K179" s="69"/>
    </row>
    <row r="180" spans="1:11" ht="14" x14ac:dyDescent="0.3">
      <c r="A180" s="4" t="s">
        <v>9</v>
      </c>
      <c r="B180" s="5"/>
      <c r="C180" s="5"/>
      <c r="D180" s="5"/>
      <c r="E180" s="70" t="s">
        <v>10</v>
      </c>
      <c r="F180" s="71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4" x14ac:dyDescent="0.3">
      <c r="A182" s="25" t="s">
        <v>22</v>
      </c>
      <c r="B182" s="28">
        <v>0</v>
      </c>
      <c r="C182" s="28">
        <v>0</v>
      </c>
      <c r="D182" s="28">
        <v>0</v>
      </c>
      <c r="E182" s="28">
        <v>0</v>
      </c>
      <c r="F182" s="28">
        <v>0</v>
      </c>
      <c r="G182" s="28">
        <v>0</v>
      </c>
      <c r="H182" s="28">
        <v>0</v>
      </c>
      <c r="I182" s="28">
        <v>0</v>
      </c>
      <c r="J182" s="28">
        <v>0</v>
      </c>
      <c r="K182" s="59">
        <v>150</v>
      </c>
    </row>
    <row r="183" spans="1:11" ht="14" x14ac:dyDescent="0.3">
      <c r="A183" s="27" t="s">
        <v>23</v>
      </c>
      <c r="B183" s="18">
        <v>0</v>
      </c>
      <c r="C183" s="18">
        <v>0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8">
        <v>0</v>
      </c>
      <c r="K183" s="19">
        <v>0</v>
      </c>
    </row>
    <row r="184" spans="1:11" ht="14" x14ac:dyDescent="0.3">
      <c r="A184" s="27"/>
      <c r="B184" s="18">
        <v>0</v>
      </c>
      <c r="C184" s="18">
        <v>0</v>
      </c>
      <c r="D184" s="18">
        <v>0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8">
        <v>0</v>
      </c>
      <c r="K184" s="19">
        <v>0</v>
      </c>
    </row>
    <row r="185" spans="1:11" ht="14" x14ac:dyDescent="0.3">
      <c r="A185" s="27" t="s">
        <v>24</v>
      </c>
      <c r="B185" s="18">
        <v>8</v>
      </c>
      <c r="C185" s="18">
        <v>3</v>
      </c>
      <c r="D185" s="18">
        <v>1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8">
        <v>0</v>
      </c>
      <c r="K185" s="19">
        <v>12</v>
      </c>
    </row>
    <row r="186" spans="1:11" ht="14" x14ac:dyDescent="0.3">
      <c r="A186" s="27"/>
      <c r="B186" s="18">
        <v>0</v>
      </c>
      <c r="C186" s="18">
        <v>0</v>
      </c>
      <c r="D186" s="18">
        <v>0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8">
        <v>0</v>
      </c>
      <c r="K186" s="19">
        <v>0</v>
      </c>
    </row>
    <row r="187" spans="1:11" ht="14" x14ac:dyDescent="0.3">
      <c r="A187" s="27" t="s">
        <v>25</v>
      </c>
      <c r="B187" s="18">
        <v>13</v>
      </c>
      <c r="C187" s="18">
        <v>1</v>
      </c>
      <c r="D187" s="18">
        <v>0</v>
      </c>
      <c r="E187" s="18">
        <v>0</v>
      </c>
      <c r="F187" s="18">
        <v>0</v>
      </c>
      <c r="G187" s="18">
        <v>0</v>
      </c>
      <c r="H187" s="18">
        <v>0</v>
      </c>
      <c r="I187" s="18">
        <v>0</v>
      </c>
      <c r="J187" s="18">
        <v>0</v>
      </c>
      <c r="K187" s="19">
        <v>14</v>
      </c>
    </row>
    <row r="188" spans="1:11" ht="14" x14ac:dyDescent="0.3">
      <c r="A188" s="27"/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8">
        <v>0</v>
      </c>
      <c r="K188" s="19">
        <v>0</v>
      </c>
    </row>
    <row r="189" spans="1:11" ht="14" x14ac:dyDescent="0.3">
      <c r="A189" s="27" t="s">
        <v>26</v>
      </c>
      <c r="B189" s="18">
        <v>16</v>
      </c>
      <c r="C189" s="18">
        <v>1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8">
        <v>0</v>
      </c>
      <c r="K189" s="19">
        <v>17</v>
      </c>
    </row>
    <row r="190" spans="1:11" ht="14" x14ac:dyDescent="0.3">
      <c r="A190" s="27"/>
      <c r="B190" s="18">
        <v>0</v>
      </c>
      <c r="C190" s="18">
        <v>0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8">
        <v>0</v>
      </c>
      <c r="K190" s="19">
        <v>0</v>
      </c>
    </row>
    <row r="191" spans="1:11" ht="14" x14ac:dyDescent="0.3">
      <c r="A191" s="27" t="s">
        <v>27</v>
      </c>
      <c r="B191" s="18">
        <v>24</v>
      </c>
      <c r="C191" s="18">
        <v>1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8">
        <v>0</v>
      </c>
      <c r="K191" s="19">
        <v>25</v>
      </c>
    </row>
    <row r="192" spans="1:11" ht="14" x14ac:dyDescent="0.3">
      <c r="A192" s="27"/>
      <c r="B192" s="18">
        <v>0</v>
      </c>
      <c r="C192" s="18">
        <v>0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8">
        <v>0</v>
      </c>
      <c r="K192" s="19">
        <v>0</v>
      </c>
    </row>
    <row r="193" spans="1:11" ht="14" x14ac:dyDescent="0.3">
      <c r="A193" s="27" t="s">
        <v>28</v>
      </c>
      <c r="B193" s="18">
        <v>42</v>
      </c>
      <c r="C193" s="18">
        <v>7</v>
      </c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0</v>
      </c>
      <c r="J193" s="18">
        <v>0</v>
      </c>
      <c r="K193" s="19">
        <v>49</v>
      </c>
    </row>
    <row r="194" spans="1:11" ht="14" x14ac:dyDescent="0.3">
      <c r="A194" s="27"/>
      <c r="B194" s="18">
        <v>0</v>
      </c>
      <c r="C194" s="18">
        <v>0</v>
      </c>
      <c r="D194" s="18">
        <v>0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18">
        <v>0</v>
      </c>
      <c r="K194" s="19">
        <v>0</v>
      </c>
    </row>
    <row r="195" spans="1:11" ht="14" x14ac:dyDescent="0.3">
      <c r="A195" s="27" t="s">
        <v>29</v>
      </c>
      <c r="B195" s="18">
        <v>105</v>
      </c>
      <c r="C195" s="18">
        <v>58</v>
      </c>
      <c r="D195" s="18">
        <v>1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8">
        <v>0</v>
      </c>
      <c r="K195" s="19">
        <v>164</v>
      </c>
    </row>
    <row r="196" spans="1:11" ht="14" x14ac:dyDescent="0.3">
      <c r="A196" s="27"/>
      <c r="B196" s="18">
        <v>0</v>
      </c>
      <c r="C196" s="18">
        <v>0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8">
        <v>0</v>
      </c>
      <c r="K196" s="19">
        <v>0</v>
      </c>
    </row>
    <row r="197" spans="1:11" ht="14" x14ac:dyDescent="0.3">
      <c r="A197" s="27" t="s">
        <v>30</v>
      </c>
      <c r="B197" s="18">
        <v>77</v>
      </c>
      <c r="C197" s="18">
        <v>77</v>
      </c>
      <c r="D197" s="18">
        <v>3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8">
        <v>0</v>
      </c>
      <c r="K197" s="19">
        <v>157</v>
      </c>
    </row>
    <row r="198" spans="1:11" ht="14" x14ac:dyDescent="0.3">
      <c r="A198" s="27"/>
      <c r="B198" s="18">
        <v>0</v>
      </c>
      <c r="C198" s="18">
        <v>0</v>
      </c>
      <c r="D198" s="18">
        <v>0</v>
      </c>
      <c r="E198" s="18">
        <v>0</v>
      </c>
      <c r="F198" s="18">
        <v>0</v>
      </c>
      <c r="G198" s="18">
        <v>0</v>
      </c>
      <c r="H198" s="18">
        <v>0</v>
      </c>
      <c r="I198" s="18">
        <v>0</v>
      </c>
      <c r="J198" s="18">
        <v>0</v>
      </c>
      <c r="K198" s="19">
        <v>0</v>
      </c>
    </row>
    <row r="199" spans="1:11" ht="14" x14ac:dyDescent="0.3">
      <c r="A199" s="27" t="s">
        <v>31</v>
      </c>
      <c r="B199" s="18">
        <v>40</v>
      </c>
      <c r="C199" s="18">
        <v>25</v>
      </c>
      <c r="D199" s="18">
        <v>1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8">
        <v>0</v>
      </c>
      <c r="K199" s="19">
        <v>66</v>
      </c>
    </row>
    <row r="200" spans="1:11" ht="14" x14ac:dyDescent="0.3">
      <c r="A200" s="27"/>
      <c r="B200" s="18">
        <v>0</v>
      </c>
      <c r="C200" s="18">
        <v>0</v>
      </c>
      <c r="D200" s="18">
        <v>0</v>
      </c>
      <c r="E200" s="18">
        <v>0</v>
      </c>
      <c r="F200" s="18">
        <v>0</v>
      </c>
      <c r="G200" s="18">
        <v>0</v>
      </c>
      <c r="H200" s="18">
        <v>0</v>
      </c>
      <c r="I200" s="18">
        <v>0</v>
      </c>
      <c r="J200" s="18">
        <v>0</v>
      </c>
      <c r="K200" s="19">
        <v>0</v>
      </c>
    </row>
    <row r="201" spans="1:11" ht="14" x14ac:dyDescent="0.3">
      <c r="A201" s="27" t="s">
        <v>32</v>
      </c>
      <c r="B201" s="18">
        <v>24</v>
      </c>
      <c r="C201" s="18">
        <v>5</v>
      </c>
      <c r="D201" s="18">
        <v>1</v>
      </c>
      <c r="E201" s="18">
        <v>1</v>
      </c>
      <c r="F201" s="18">
        <v>0</v>
      </c>
      <c r="G201" s="18">
        <v>0</v>
      </c>
      <c r="H201" s="18">
        <v>0</v>
      </c>
      <c r="I201" s="18">
        <v>0</v>
      </c>
      <c r="J201" s="18">
        <v>0</v>
      </c>
      <c r="K201" s="19">
        <v>31</v>
      </c>
    </row>
    <row r="202" spans="1:11" ht="14" x14ac:dyDescent="0.3">
      <c r="A202" s="27"/>
      <c r="B202" s="18">
        <v>0</v>
      </c>
      <c r="C202" s="18">
        <v>0</v>
      </c>
      <c r="D202" s="18">
        <v>0</v>
      </c>
      <c r="E202" s="18">
        <v>0</v>
      </c>
      <c r="F202" s="18">
        <v>0</v>
      </c>
      <c r="G202" s="18">
        <v>0</v>
      </c>
      <c r="H202" s="18">
        <v>0</v>
      </c>
      <c r="I202" s="18">
        <v>0</v>
      </c>
      <c r="J202" s="18">
        <v>0</v>
      </c>
      <c r="K202" s="19">
        <v>0</v>
      </c>
    </row>
    <row r="203" spans="1:11" ht="14" x14ac:dyDescent="0.3">
      <c r="A203" s="27" t="s">
        <v>33</v>
      </c>
      <c r="B203" s="18">
        <v>7</v>
      </c>
      <c r="C203" s="18">
        <v>1</v>
      </c>
      <c r="D203" s="18">
        <v>0</v>
      </c>
      <c r="E203" s="18">
        <v>0</v>
      </c>
      <c r="F203" s="18">
        <v>0</v>
      </c>
      <c r="G203" s="18">
        <v>0</v>
      </c>
      <c r="H203" s="18">
        <v>0</v>
      </c>
      <c r="I203" s="18">
        <v>0</v>
      </c>
      <c r="J203" s="18">
        <v>0</v>
      </c>
      <c r="K203" s="19">
        <v>8</v>
      </c>
    </row>
    <row r="204" spans="1:11" ht="15.75" customHeight="1" x14ac:dyDescent="0.3">
      <c r="A204" s="27"/>
      <c r="B204" s="18">
        <v>0</v>
      </c>
      <c r="C204" s="18">
        <v>0</v>
      </c>
      <c r="D204" s="18">
        <v>0</v>
      </c>
      <c r="E204" s="18">
        <v>0</v>
      </c>
      <c r="F204" s="18">
        <v>0</v>
      </c>
      <c r="G204" s="18">
        <v>0</v>
      </c>
      <c r="H204" s="18">
        <v>0</v>
      </c>
      <c r="I204" s="18">
        <v>0</v>
      </c>
      <c r="J204" s="18">
        <v>0</v>
      </c>
      <c r="K204" s="19">
        <v>0</v>
      </c>
    </row>
    <row r="205" spans="1:11" ht="15.75" customHeight="1" x14ac:dyDescent="0.3">
      <c r="A205" s="27" t="s">
        <v>34</v>
      </c>
      <c r="B205" s="18">
        <v>22</v>
      </c>
      <c r="C205" s="18">
        <v>8</v>
      </c>
      <c r="D205" s="18">
        <v>0</v>
      </c>
      <c r="E205" s="18">
        <v>0</v>
      </c>
      <c r="F205" s="18">
        <v>0</v>
      </c>
      <c r="G205" s="18">
        <v>0</v>
      </c>
      <c r="H205" s="18">
        <v>0</v>
      </c>
      <c r="I205" s="18">
        <v>0</v>
      </c>
      <c r="J205" s="18">
        <v>0</v>
      </c>
      <c r="K205" s="19">
        <v>30</v>
      </c>
    </row>
    <row r="206" spans="1:11" ht="15.75" customHeight="1" x14ac:dyDescent="0.3">
      <c r="A206" s="27"/>
      <c r="B206" s="18">
        <v>0</v>
      </c>
      <c r="C206" s="18">
        <v>0</v>
      </c>
      <c r="D206" s="18">
        <v>0</v>
      </c>
      <c r="E206" s="18">
        <v>0</v>
      </c>
      <c r="F206" s="18">
        <v>0</v>
      </c>
      <c r="G206" s="18">
        <v>0</v>
      </c>
      <c r="H206" s="18">
        <v>0</v>
      </c>
      <c r="I206" s="18">
        <v>0</v>
      </c>
      <c r="J206" s="18">
        <v>0</v>
      </c>
      <c r="K206" s="19">
        <v>0</v>
      </c>
    </row>
    <row r="207" spans="1:11" ht="15.75" customHeight="1" x14ac:dyDescent="0.3">
      <c r="A207" s="27" t="s">
        <v>35</v>
      </c>
      <c r="B207" s="18">
        <v>25</v>
      </c>
      <c r="C207" s="18">
        <v>3</v>
      </c>
      <c r="D207" s="18">
        <v>0</v>
      </c>
      <c r="E207" s="18">
        <v>0</v>
      </c>
      <c r="F207" s="18">
        <v>0</v>
      </c>
      <c r="G207" s="18">
        <v>0</v>
      </c>
      <c r="H207" s="18">
        <v>0</v>
      </c>
      <c r="I207" s="18">
        <v>0</v>
      </c>
      <c r="J207" s="18">
        <v>0</v>
      </c>
      <c r="K207" s="19">
        <v>28</v>
      </c>
    </row>
    <row r="208" spans="1:11" ht="15.75" customHeight="1" x14ac:dyDescent="0.3">
      <c r="A208" s="29"/>
      <c r="B208" s="19">
        <v>0</v>
      </c>
      <c r="C208" s="19">
        <v>0</v>
      </c>
      <c r="D208" s="19">
        <v>0</v>
      </c>
      <c r="E208" s="19">
        <v>0</v>
      </c>
      <c r="F208" s="19">
        <v>0</v>
      </c>
      <c r="G208" s="19">
        <v>0</v>
      </c>
      <c r="H208" s="19">
        <v>0</v>
      </c>
      <c r="I208" s="19">
        <v>0</v>
      </c>
      <c r="J208" s="19">
        <v>0</v>
      </c>
      <c r="K208" s="19">
        <v>0</v>
      </c>
    </row>
    <row r="209" spans="1:11" ht="15.75" customHeight="1" x14ac:dyDescent="0.25">
      <c r="A209" s="63" t="s">
        <v>21</v>
      </c>
      <c r="B209" s="63">
        <v>403</v>
      </c>
      <c r="C209" s="63">
        <v>190</v>
      </c>
      <c r="D209" s="63">
        <v>7</v>
      </c>
      <c r="E209" s="63">
        <v>1</v>
      </c>
      <c r="F209" s="63">
        <v>0</v>
      </c>
      <c r="G209" s="63">
        <v>0</v>
      </c>
      <c r="H209" s="63">
        <v>0</v>
      </c>
      <c r="I209" s="63">
        <v>0</v>
      </c>
      <c r="J209" s="63">
        <v>0</v>
      </c>
      <c r="K209" s="63">
        <v>751</v>
      </c>
    </row>
    <row r="210" spans="1:11" ht="15.75" customHeight="1" x14ac:dyDescent="0.2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</row>
    <row r="211" spans="1:11" ht="15.75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</row>
    <row r="212" spans="1:11" ht="15.75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65" t="s">
        <v>0</v>
      </c>
      <c r="B216" s="66"/>
      <c r="C216" s="66"/>
      <c r="D216" s="66"/>
      <c r="E216" s="66"/>
      <c r="F216" s="2"/>
      <c r="G216" s="2"/>
      <c r="H216" s="2"/>
      <c r="I216" s="2"/>
      <c r="J216" s="2"/>
      <c r="K216" s="2"/>
    </row>
    <row r="217" spans="1:11" ht="15.75" customHeight="1" x14ac:dyDescent="0.3">
      <c r="A217" s="65" t="s">
        <v>1</v>
      </c>
      <c r="B217" s="66"/>
      <c r="C217" s="66"/>
      <c r="D217" s="2"/>
      <c r="E217" s="2"/>
      <c r="F217" s="2"/>
      <c r="G217" s="65" t="s">
        <v>119</v>
      </c>
      <c r="H217" s="66"/>
      <c r="I217" s="66"/>
      <c r="J217" s="1"/>
      <c r="K217" s="2"/>
    </row>
    <row r="218" spans="1:11" ht="15.75" customHeight="1" x14ac:dyDescent="0.3">
      <c r="A218" s="65" t="s">
        <v>39</v>
      </c>
      <c r="B218" s="66"/>
      <c r="C218" s="66"/>
      <c r="D218" s="66"/>
      <c r="E218" s="66"/>
      <c r="F218" s="2"/>
      <c r="G218" s="65" t="s">
        <v>4</v>
      </c>
      <c r="H218" s="66"/>
      <c r="I218" s="66"/>
      <c r="J218" s="66"/>
      <c r="K218" s="2"/>
    </row>
    <row r="219" spans="1:11" ht="15.75" customHeight="1" x14ac:dyDescent="0.3">
      <c r="A219" s="65" t="s">
        <v>5</v>
      </c>
      <c r="B219" s="66"/>
      <c r="C219" s="66"/>
      <c r="D219" s="66"/>
      <c r="E219" s="66"/>
      <c r="F219" s="2"/>
      <c r="G219" s="65" t="s">
        <v>6</v>
      </c>
      <c r="H219" s="66"/>
      <c r="I219" s="66"/>
      <c r="J219" s="6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60" t="s">
        <v>7</v>
      </c>
      <c r="B221" s="61"/>
      <c r="C221" s="61"/>
      <c r="D221" s="61"/>
      <c r="E221" s="61"/>
      <c r="F221" s="61"/>
      <c r="G221" s="61"/>
      <c r="H221" s="61"/>
      <c r="I221" s="61"/>
      <c r="J221" s="61"/>
      <c r="K221" s="62"/>
    </row>
    <row r="222" spans="1:11" ht="15.75" customHeight="1" x14ac:dyDescent="0.3">
      <c r="A222" s="67" t="s">
        <v>8</v>
      </c>
      <c r="B222" s="68"/>
      <c r="C222" s="68"/>
      <c r="D222" s="68"/>
      <c r="E222" s="68"/>
      <c r="F222" s="68"/>
      <c r="G222" s="68"/>
      <c r="H222" s="68"/>
      <c r="I222" s="68"/>
      <c r="J222" s="68"/>
      <c r="K222" s="69"/>
    </row>
    <row r="223" spans="1:11" ht="15.75" customHeight="1" x14ac:dyDescent="0.3">
      <c r="A223" s="4" t="s">
        <v>9</v>
      </c>
      <c r="B223" s="5"/>
      <c r="C223" s="5"/>
      <c r="D223" s="5"/>
      <c r="E223" s="70" t="s">
        <v>10</v>
      </c>
      <c r="F223" s="71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3">
      <c r="A225" s="25" t="s">
        <v>22</v>
      </c>
      <c r="B225" s="28"/>
      <c r="C225" s="28"/>
      <c r="D225" s="28"/>
      <c r="E225" s="28"/>
      <c r="F225" s="28"/>
      <c r="G225" s="28"/>
      <c r="H225" s="28"/>
      <c r="I225" s="28"/>
      <c r="J225" s="28"/>
      <c r="K225" s="59">
        <f>(K10+K53+K96+K139+K182)/5</f>
        <v>-194.4</v>
      </c>
    </row>
    <row r="226" spans="1:11" ht="15.75" customHeight="1" x14ac:dyDescent="0.3">
      <c r="A226" s="27" t="s">
        <v>23</v>
      </c>
      <c r="B226" s="18"/>
      <c r="C226" s="18"/>
      <c r="D226" s="18"/>
      <c r="E226" s="18"/>
      <c r="F226" s="18"/>
      <c r="G226" s="18"/>
      <c r="H226" s="18"/>
      <c r="I226" s="18"/>
      <c r="J226" s="18"/>
      <c r="K226" s="59">
        <f>(K11+K54+K97+K140+K183)/5</f>
        <v>0</v>
      </c>
    </row>
    <row r="227" spans="1:11" ht="15.75" customHeight="1" x14ac:dyDescent="0.3">
      <c r="A227" s="27"/>
      <c r="B227" s="18"/>
      <c r="C227" s="18"/>
      <c r="D227" s="18"/>
      <c r="E227" s="18"/>
      <c r="F227" s="18"/>
      <c r="G227" s="18"/>
      <c r="H227" s="18"/>
      <c r="I227" s="18"/>
      <c r="J227" s="18"/>
      <c r="K227" s="59">
        <f t="shared" ref="K227:K250" si="0">(K12+K55+K98+K141+K184)/5</f>
        <v>0</v>
      </c>
    </row>
    <row r="228" spans="1:11" ht="15.75" customHeight="1" x14ac:dyDescent="0.3">
      <c r="A228" s="27" t="s">
        <v>24</v>
      </c>
      <c r="B228" s="18">
        <f>(B13+B56+B99+B142+B185)/5</f>
        <v>3</v>
      </c>
      <c r="C228" s="18">
        <f t="shared" ref="C228:J228" si="1">(C13+C56+C99+C142+C185)/5</f>
        <v>1.2</v>
      </c>
      <c r="D228" s="18">
        <f t="shared" si="1"/>
        <v>0.6</v>
      </c>
      <c r="E228" s="18">
        <f t="shared" si="1"/>
        <v>0</v>
      </c>
      <c r="F228" s="18">
        <f t="shared" si="1"/>
        <v>0</v>
      </c>
      <c r="G228" s="18">
        <f t="shared" si="1"/>
        <v>0</v>
      </c>
      <c r="H228" s="18">
        <f t="shared" si="1"/>
        <v>0</v>
      </c>
      <c r="I228" s="18">
        <f t="shared" si="1"/>
        <v>0</v>
      </c>
      <c r="J228" s="18">
        <f t="shared" si="1"/>
        <v>0</v>
      </c>
      <c r="K228" s="59">
        <f t="shared" si="0"/>
        <v>4.8</v>
      </c>
    </row>
    <row r="229" spans="1:11" ht="15.75" customHeight="1" x14ac:dyDescent="0.3">
      <c r="A229" s="27"/>
      <c r="B229" s="18">
        <f t="shared" ref="B229:J250" si="2">(B14+B57+B100+B143+B186)/5</f>
        <v>0</v>
      </c>
      <c r="C229" s="18">
        <f t="shared" si="2"/>
        <v>0</v>
      </c>
      <c r="D229" s="18">
        <f t="shared" si="2"/>
        <v>0</v>
      </c>
      <c r="E229" s="18">
        <f t="shared" si="2"/>
        <v>0</v>
      </c>
      <c r="F229" s="18">
        <f t="shared" si="2"/>
        <v>0</v>
      </c>
      <c r="G229" s="18">
        <f t="shared" si="2"/>
        <v>0</v>
      </c>
      <c r="H229" s="18">
        <f t="shared" si="2"/>
        <v>0</v>
      </c>
      <c r="I229" s="18">
        <f t="shared" si="2"/>
        <v>0</v>
      </c>
      <c r="J229" s="18">
        <f t="shared" si="2"/>
        <v>0</v>
      </c>
      <c r="K229" s="59">
        <f t="shared" si="0"/>
        <v>0</v>
      </c>
    </row>
    <row r="230" spans="1:11" ht="15.75" customHeight="1" x14ac:dyDescent="0.3">
      <c r="A230" s="27" t="s">
        <v>25</v>
      </c>
      <c r="B230" s="18">
        <f t="shared" si="2"/>
        <v>6.2</v>
      </c>
      <c r="C230" s="18">
        <f t="shared" si="2"/>
        <v>0.4</v>
      </c>
      <c r="D230" s="18">
        <f t="shared" si="2"/>
        <v>0</v>
      </c>
      <c r="E230" s="18">
        <f t="shared" si="2"/>
        <v>0</v>
      </c>
      <c r="F230" s="18">
        <f t="shared" si="2"/>
        <v>0</v>
      </c>
      <c r="G230" s="18">
        <f t="shared" si="2"/>
        <v>0</v>
      </c>
      <c r="H230" s="18">
        <f t="shared" si="2"/>
        <v>0</v>
      </c>
      <c r="I230" s="18">
        <f t="shared" si="2"/>
        <v>0</v>
      </c>
      <c r="J230" s="18">
        <f t="shared" si="2"/>
        <v>0</v>
      </c>
      <c r="K230" s="59">
        <f t="shared" si="0"/>
        <v>6.6</v>
      </c>
    </row>
    <row r="231" spans="1:11" ht="15.75" customHeight="1" x14ac:dyDescent="0.3">
      <c r="A231" s="27"/>
      <c r="B231" s="18">
        <f t="shared" si="2"/>
        <v>0</v>
      </c>
      <c r="C231" s="18">
        <f t="shared" si="2"/>
        <v>0</v>
      </c>
      <c r="D231" s="18">
        <f t="shared" si="2"/>
        <v>0</v>
      </c>
      <c r="E231" s="18">
        <f t="shared" si="2"/>
        <v>0</v>
      </c>
      <c r="F231" s="18">
        <f t="shared" si="2"/>
        <v>0</v>
      </c>
      <c r="G231" s="18">
        <f t="shared" si="2"/>
        <v>0</v>
      </c>
      <c r="H231" s="18">
        <f t="shared" si="2"/>
        <v>0</v>
      </c>
      <c r="I231" s="18">
        <f t="shared" si="2"/>
        <v>0</v>
      </c>
      <c r="J231" s="18">
        <f t="shared" si="2"/>
        <v>0</v>
      </c>
      <c r="K231" s="59">
        <f t="shared" si="0"/>
        <v>0</v>
      </c>
    </row>
    <row r="232" spans="1:11" ht="15.75" customHeight="1" x14ac:dyDescent="0.3">
      <c r="A232" s="27" t="s">
        <v>26</v>
      </c>
      <c r="B232" s="18">
        <f t="shared" si="2"/>
        <v>5.8</v>
      </c>
      <c r="C232" s="18">
        <f t="shared" si="2"/>
        <v>2.8</v>
      </c>
      <c r="D232" s="18">
        <f t="shared" si="2"/>
        <v>0</v>
      </c>
      <c r="E232" s="18">
        <f t="shared" si="2"/>
        <v>0</v>
      </c>
      <c r="F232" s="18">
        <f t="shared" si="2"/>
        <v>0</v>
      </c>
      <c r="G232" s="18">
        <f t="shared" si="2"/>
        <v>0</v>
      </c>
      <c r="H232" s="18">
        <f t="shared" si="2"/>
        <v>0</v>
      </c>
      <c r="I232" s="18">
        <f t="shared" si="2"/>
        <v>0</v>
      </c>
      <c r="J232" s="18">
        <f t="shared" si="2"/>
        <v>0</v>
      </c>
      <c r="K232" s="59">
        <f t="shared" si="0"/>
        <v>8.6</v>
      </c>
    </row>
    <row r="233" spans="1:11" ht="15.75" customHeight="1" x14ac:dyDescent="0.3">
      <c r="A233" s="27"/>
      <c r="B233" s="18">
        <f t="shared" si="2"/>
        <v>0</v>
      </c>
      <c r="C233" s="18">
        <f t="shared" si="2"/>
        <v>0</v>
      </c>
      <c r="D233" s="18">
        <f t="shared" si="2"/>
        <v>0</v>
      </c>
      <c r="E233" s="18">
        <f t="shared" si="2"/>
        <v>0</v>
      </c>
      <c r="F233" s="18">
        <f t="shared" si="2"/>
        <v>0</v>
      </c>
      <c r="G233" s="18">
        <f t="shared" si="2"/>
        <v>0</v>
      </c>
      <c r="H233" s="18">
        <f t="shared" si="2"/>
        <v>0</v>
      </c>
      <c r="I233" s="18">
        <f t="shared" si="2"/>
        <v>0</v>
      </c>
      <c r="J233" s="18">
        <f t="shared" si="2"/>
        <v>0</v>
      </c>
      <c r="K233" s="59">
        <f t="shared" si="0"/>
        <v>0</v>
      </c>
    </row>
    <row r="234" spans="1:11" ht="15.75" customHeight="1" x14ac:dyDescent="0.3">
      <c r="A234" s="27" t="s">
        <v>27</v>
      </c>
      <c r="B234" s="18">
        <f t="shared" si="2"/>
        <v>13</v>
      </c>
      <c r="C234" s="18">
        <f t="shared" si="2"/>
        <v>4.2</v>
      </c>
      <c r="D234" s="18">
        <f t="shared" si="2"/>
        <v>0</v>
      </c>
      <c r="E234" s="18">
        <f t="shared" si="2"/>
        <v>0</v>
      </c>
      <c r="F234" s="18">
        <f t="shared" si="2"/>
        <v>0</v>
      </c>
      <c r="G234" s="18">
        <f t="shared" si="2"/>
        <v>0</v>
      </c>
      <c r="H234" s="18">
        <f t="shared" si="2"/>
        <v>0</v>
      </c>
      <c r="I234" s="18">
        <f t="shared" si="2"/>
        <v>0</v>
      </c>
      <c r="J234" s="18">
        <f t="shared" si="2"/>
        <v>0</v>
      </c>
      <c r="K234" s="59">
        <f t="shared" si="0"/>
        <v>17.2</v>
      </c>
    </row>
    <row r="235" spans="1:11" ht="15.75" customHeight="1" x14ac:dyDescent="0.3">
      <c r="A235" s="27"/>
      <c r="B235" s="18">
        <f t="shared" si="2"/>
        <v>0</v>
      </c>
      <c r="C235" s="18">
        <f t="shared" si="2"/>
        <v>0</v>
      </c>
      <c r="D235" s="18">
        <f t="shared" si="2"/>
        <v>0</v>
      </c>
      <c r="E235" s="18">
        <f t="shared" si="2"/>
        <v>0</v>
      </c>
      <c r="F235" s="18">
        <f t="shared" si="2"/>
        <v>0</v>
      </c>
      <c r="G235" s="18">
        <f t="shared" si="2"/>
        <v>0</v>
      </c>
      <c r="H235" s="18">
        <f t="shared" si="2"/>
        <v>0</v>
      </c>
      <c r="I235" s="18">
        <f t="shared" si="2"/>
        <v>0</v>
      </c>
      <c r="J235" s="18">
        <f t="shared" si="2"/>
        <v>0</v>
      </c>
      <c r="K235" s="59">
        <f t="shared" si="0"/>
        <v>0</v>
      </c>
    </row>
    <row r="236" spans="1:11" ht="15.75" customHeight="1" x14ac:dyDescent="0.3">
      <c r="A236" s="27" t="s">
        <v>28</v>
      </c>
      <c r="B236" s="18">
        <f t="shared" si="2"/>
        <v>24.8</v>
      </c>
      <c r="C236" s="18">
        <f t="shared" si="2"/>
        <v>14.6</v>
      </c>
      <c r="D236" s="18">
        <f t="shared" si="2"/>
        <v>0</v>
      </c>
      <c r="E236" s="18">
        <f t="shared" si="2"/>
        <v>0</v>
      </c>
      <c r="F236" s="18">
        <f t="shared" si="2"/>
        <v>0</v>
      </c>
      <c r="G236" s="18">
        <f t="shared" si="2"/>
        <v>0</v>
      </c>
      <c r="H236" s="18">
        <f t="shared" si="2"/>
        <v>0</v>
      </c>
      <c r="I236" s="18">
        <f t="shared" si="2"/>
        <v>0</v>
      </c>
      <c r="J236" s="18">
        <f t="shared" si="2"/>
        <v>0</v>
      </c>
      <c r="K236" s="59">
        <f t="shared" si="0"/>
        <v>39.4</v>
      </c>
    </row>
    <row r="237" spans="1:11" ht="15.75" customHeight="1" x14ac:dyDescent="0.3">
      <c r="A237" s="27"/>
      <c r="B237" s="18">
        <f t="shared" si="2"/>
        <v>0</v>
      </c>
      <c r="C237" s="18">
        <f t="shared" si="2"/>
        <v>0</v>
      </c>
      <c r="D237" s="18">
        <f t="shared" si="2"/>
        <v>0</v>
      </c>
      <c r="E237" s="18">
        <f t="shared" si="2"/>
        <v>0</v>
      </c>
      <c r="F237" s="18">
        <f t="shared" si="2"/>
        <v>0</v>
      </c>
      <c r="G237" s="18">
        <f t="shared" si="2"/>
        <v>0</v>
      </c>
      <c r="H237" s="18">
        <f t="shared" si="2"/>
        <v>0</v>
      </c>
      <c r="I237" s="18">
        <f t="shared" si="2"/>
        <v>0</v>
      </c>
      <c r="J237" s="18">
        <f t="shared" si="2"/>
        <v>0</v>
      </c>
      <c r="K237" s="59">
        <f t="shared" si="0"/>
        <v>0</v>
      </c>
    </row>
    <row r="238" spans="1:11" ht="15.75" customHeight="1" x14ac:dyDescent="0.3">
      <c r="A238" s="27" t="s">
        <v>29</v>
      </c>
      <c r="B238" s="18">
        <f t="shared" si="2"/>
        <v>57.2</v>
      </c>
      <c r="C238" s="18">
        <f t="shared" si="2"/>
        <v>53</v>
      </c>
      <c r="D238" s="18">
        <f t="shared" si="2"/>
        <v>3.4</v>
      </c>
      <c r="E238" s="18">
        <f t="shared" si="2"/>
        <v>0</v>
      </c>
      <c r="F238" s="18">
        <f t="shared" si="2"/>
        <v>0</v>
      </c>
      <c r="G238" s="18">
        <f t="shared" si="2"/>
        <v>0</v>
      </c>
      <c r="H238" s="18">
        <f t="shared" si="2"/>
        <v>0</v>
      </c>
      <c r="I238" s="18">
        <f t="shared" si="2"/>
        <v>0</v>
      </c>
      <c r="J238" s="18">
        <f t="shared" si="2"/>
        <v>0</v>
      </c>
      <c r="K238" s="59">
        <f t="shared" si="0"/>
        <v>113.6</v>
      </c>
    </row>
    <row r="239" spans="1:11" ht="15.75" customHeight="1" x14ac:dyDescent="0.3">
      <c r="A239" s="27"/>
      <c r="B239" s="18">
        <f t="shared" si="2"/>
        <v>0</v>
      </c>
      <c r="C239" s="18">
        <f t="shared" si="2"/>
        <v>0</v>
      </c>
      <c r="D239" s="18">
        <f t="shared" si="2"/>
        <v>0</v>
      </c>
      <c r="E239" s="18">
        <f t="shared" si="2"/>
        <v>0</v>
      </c>
      <c r="F239" s="18">
        <f t="shared" si="2"/>
        <v>0</v>
      </c>
      <c r="G239" s="18">
        <f t="shared" si="2"/>
        <v>0</v>
      </c>
      <c r="H239" s="18">
        <f t="shared" si="2"/>
        <v>0</v>
      </c>
      <c r="I239" s="18">
        <f t="shared" si="2"/>
        <v>0</v>
      </c>
      <c r="J239" s="18">
        <f t="shared" si="2"/>
        <v>0</v>
      </c>
      <c r="K239" s="59">
        <f t="shared" si="0"/>
        <v>0</v>
      </c>
    </row>
    <row r="240" spans="1:11" ht="15.75" customHeight="1" x14ac:dyDescent="0.3">
      <c r="A240" s="27" t="s">
        <v>30</v>
      </c>
      <c r="B240" s="18">
        <f t="shared" si="2"/>
        <v>44</v>
      </c>
      <c r="C240" s="18">
        <f t="shared" si="2"/>
        <v>81.400000000000006</v>
      </c>
      <c r="D240" s="18">
        <f t="shared" si="2"/>
        <v>6.6</v>
      </c>
      <c r="E240" s="18">
        <f t="shared" si="2"/>
        <v>0</v>
      </c>
      <c r="F240" s="18">
        <f t="shared" si="2"/>
        <v>0</v>
      </c>
      <c r="G240" s="18">
        <f t="shared" si="2"/>
        <v>0</v>
      </c>
      <c r="H240" s="18">
        <f t="shared" si="2"/>
        <v>0</v>
      </c>
      <c r="I240" s="18">
        <f t="shared" si="2"/>
        <v>0</v>
      </c>
      <c r="J240" s="18">
        <f t="shared" si="2"/>
        <v>0</v>
      </c>
      <c r="K240" s="59">
        <f t="shared" si="0"/>
        <v>132</v>
      </c>
    </row>
    <row r="241" spans="1:11" ht="15.75" customHeight="1" x14ac:dyDescent="0.3">
      <c r="A241" s="27"/>
      <c r="B241" s="18">
        <f t="shared" si="2"/>
        <v>0</v>
      </c>
      <c r="C241" s="18">
        <f t="shared" si="2"/>
        <v>0</v>
      </c>
      <c r="D241" s="18">
        <f t="shared" si="2"/>
        <v>0</v>
      </c>
      <c r="E241" s="18">
        <f t="shared" si="2"/>
        <v>0</v>
      </c>
      <c r="F241" s="18">
        <f t="shared" si="2"/>
        <v>0</v>
      </c>
      <c r="G241" s="18">
        <f t="shared" si="2"/>
        <v>0</v>
      </c>
      <c r="H241" s="18">
        <f t="shared" si="2"/>
        <v>0</v>
      </c>
      <c r="I241" s="18">
        <f t="shared" si="2"/>
        <v>0</v>
      </c>
      <c r="J241" s="18">
        <f t="shared" si="2"/>
        <v>0</v>
      </c>
      <c r="K241" s="59">
        <f t="shared" si="0"/>
        <v>0</v>
      </c>
    </row>
    <row r="242" spans="1:11" ht="15.75" customHeight="1" x14ac:dyDescent="0.3">
      <c r="A242" s="27" t="s">
        <v>31</v>
      </c>
      <c r="B242" s="18">
        <f t="shared" si="2"/>
        <v>23.6</v>
      </c>
      <c r="C242" s="18">
        <f t="shared" si="2"/>
        <v>30</v>
      </c>
      <c r="D242" s="18">
        <f t="shared" si="2"/>
        <v>0.8</v>
      </c>
      <c r="E242" s="18">
        <f t="shared" si="2"/>
        <v>0</v>
      </c>
      <c r="F242" s="18">
        <f t="shared" si="2"/>
        <v>0</v>
      </c>
      <c r="G242" s="18">
        <f t="shared" si="2"/>
        <v>0</v>
      </c>
      <c r="H242" s="18">
        <f t="shared" si="2"/>
        <v>0</v>
      </c>
      <c r="I242" s="18">
        <f t="shared" si="2"/>
        <v>0</v>
      </c>
      <c r="J242" s="18">
        <f t="shared" si="2"/>
        <v>0</v>
      </c>
      <c r="K242" s="59">
        <f t="shared" si="0"/>
        <v>54.4</v>
      </c>
    </row>
    <row r="243" spans="1:11" ht="15.75" customHeight="1" x14ac:dyDescent="0.3">
      <c r="A243" s="27"/>
      <c r="B243" s="18">
        <f t="shared" si="2"/>
        <v>0</v>
      </c>
      <c r="C243" s="18">
        <f t="shared" si="2"/>
        <v>0</v>
      </c>
      <c r="D243" s="18">
        <f t="shared" si="2"/>
        <v>0</v>
      </c>
      <c r="E243" s="18">
        <f t="shared" si="2"/>
        <v>0</v>
      </c>
      <c r="F243" s="18">
        <f t="shared" si="2"/>
        <v>0</v>
      </c>
      <c r="G243" s="18">
        <f t="shared" si="2"/>
        <v>0</v>
      </c>
      <c r="H243" s="18">
        <f t="shared" si="2"/>
        <v>0</v>
      </c>
      <c r="I243" s="18">
        <f t="shared" si="2"/>
        <v>0</v>
      </c>
      <c r="J243" s="18">
        <f t="shared" si="2"/>
        <v>0</v>
      </c>
      <c r="K243" s="59">
        <f t="shared" si="0"/>
        <v>0</v>
      </c>
    </row>
    <row r="244" spans="1:11" ht="15.75" customHeight="1" x14ac:dyDescent="0.3">
      <c r="A244" s="27" t="s">
        <v>32</v>
      </c>
      <c r="B244" s="18">
        <f t="shared" si="2"/>
        <v>9.6</v>
      </c>
      <c r="C244" s="18">
        <f t="shared" si="2"/>
        <v>3.2</v>
      </c>
      <c r="D244" s="18">
        <f t="shared" si="2"/>
        <v>1.2</v>
      </c>
      <c r="E244" s="18">
        <f t="shared" si="2"/>
        <v>0.2</v>
      </c>
      <c r="F244" s="18">
        <f t="shared" si="2"/>
        <v>0</v>
      </c>
      <c r="G244" s="18">
        <f t="shared" si="2"/>
        <v>0</v>
      </c>
      <c r="H244" s="18">
        <f t="shared" si="2"/>
        <v>0</v>
      </c>
      <c r="I244" s="18">
        <f t="shared" si="2"/>
        <v>0</v>
      </c>
      <c r="J244" s="18">
        <f t="shared" si="2"/>
        <v>0</v>
      </c>
      <c r="K244" s="59">
        <f t="shared" si="0"/>
        <v>14.2</v>
      </c>
    </row>
    <row r="245" spans="1:11" ht="15.75" customHeight="1" x14ac:dyDescent="0.3">
      <c r="A245" s="27"/>
      <c r="B245" s="18">
        <f t="shared" si="2"/>
        <v>0</v>
      </c>
      <c r="C245" s="18">
        <f t="shared" si="2"/>
        <v>0</v>
      </c>
      <c r="D245" s="18">
        <f t="shared" si="2"/>
        <v>0</v>
      </c>
      <c r="E245" s="18">
        <f t="shared" si="2"/>
        <v>0</v>
      </c>
      <c r="F245" s="18">
        <f t="shared" si="2"/>
        <v>0</v>
      </c>
      <c r="G245" s="18">
        <f t="shared" si="2"/>
        <v>0</v>
      </c>
      <c r="H245" s="18">
        <f t="shared" si="2"/>
        <v>0</v>
      </c>
      <c r="I245" s="18">
        <f t="shared" si="2"/>
        <v>0</v>
      </c>
      <c r="J245" s="18">
        <f t="shared" si="2"/>
        <v>0</v>
      </c>
      <c r="K245" s="59">
        <f t="shared" si="0"/>
        <v>0</v>
      </c>
    </row>
    <row r="246" spans="1:11" ht="15.75" customHeight="1" x14ac:dyDescent="0.3">
      <c r="A246" s="27" t="s">
        <v>33</v>
      </c>
      <c r="B246" s="18">
        <f t="shared" si="2"/>
        <v>5.4</v>
      </c>
      <c r="C246" s="18">
        <f t="shared" si="2"/>
        <v>3.4</v>
      </c>
      <c r="D246" s="18">
        <f t="shared" si="2"/>
        <v>0.8</v>
      </c>
      <c r="E246" s="18">
        <f t="shared" si="2"/>
        <v>0</v>
      </c>
      <c r="F246" s="18">
        <f t="shared" si="2"/>
        <v>0</v>
      </c>
      <c r="G246" s="18">
        <f t="shared" si="2"/>
        <v>0</v>
      </c>
      <c r="H246" s="18">
        <f t="shared" si="2"/>
        <v>0</v>
      </c>
      <c r="I246" s="18">
        <f t="shared" si="2"/>
        <v>0</v>
      </c>
      <c r="J246" s="18">
        <f t="shared" si="2"/>
        <v>0</v>
      </c>
      <c r="K246" s="59">
        <f t="shared" si="0"/>
        <v>9.6</v>
      </c>
    </row>
    <row r="247" spans="1:11" ht="15.75" customHeight="1" x14ac:dyDescent="0.3">
      <c r="A247" s="27"/>
      <c r="B247" s="18">
        <f t="shared" si="2"/>
        <v>0</v>
      </c>
      <c r="C247" s="18">
        <f t="shared" si="2"/>
        <v>0</v>
      </c>
      <c r="D247" s="18">
        <f t="shared" si="2"/>
        <v>0</v>
      </c>
      <c r="E247" s="18">
        <f t="shared" si="2"/>
        <v>0</v>
      </c>
      <c r="F247" s="18">
        <f t="shared" si="2"/>
        <v>0</v>
      </c>
      <c r="G247" s="18">
        <f t="shared" si="2"/>
        <v>0</v>
      </c>
      <c r="H247" s="18">
        <f t="shared" si="2"/>
        <v>0</v>
      </c>
      <c r="I247" s="18">
        <f t="shared" si="2"/>
        <v>0</v>
      </c>
      <c r="J247" s="18">
        <f t="shared" si="2"/>
        <v>0</v>
      </c>
      <c r="K247" s="59">
        <f t="shared" si="0"/>
        <v>0</v>
      </c>
    </row>
    <row r="248" spans="1:11" ht="15.75" customHeight="1" x14ac:dyDescent="0.3">
      <c r="A248" s="27" t="s">
        <v>34</v>
      </c>
      <c r="B248" s="18">
        <f t="shared" si="2"/>
        <v>7.4</v>
      </c>
      <c r="C248" s="18">
        <f t="shared" si="2"/>
        <v>4.4000000000000004</v>
      </c>
      <c r="D248" s="18">
        <f t="shared" si="2"/>
        <v>0.4</v>
      </c>
      <c r="E248" s="18">
        <f t="shared" si="2"/>
        <v>0</v>
      </c>
      <c r="F248" s="18">
        <f t="shared" si="2"/>
        <v>0</v>
      </c>
      <c r="G248" s="18">
        <f t="shared" si="2"/>
        <v>0</v>
      </c>
      <c r="H248" s="18">
        <f t="shared" si="2"/>
        <v>0</v>
      </c>
      <c r="I248" s="18">
        <f t="shared" si="2"/>
        <v>0</v>
      </c>
      <c r="J248" s="18">
        <f t="shared" si="2"/>
        <v>0</v>
      </c>
      <c r="K248" s="59">
        <f t="shared" si="0"/>
        <v>12.2</v>
      </c>
    </row>
    <row r="249" spans="1:11" ht="15.75" customHeight="1" x14ac:dyDescent="0.3">
      <c r="A249" s="27"/>
      <c r="B249" s="18">
        <f t="shared" si="2"/>
        <v>0</v>
      </c>
      <c r="C249" s="18">
        <f t="shared" si="2"/>
        <v>0</v>
      </c>
      <c r="D249" s="18">
        <f t="shared" si="2"/>
        <v>0</v>
      </c>
      <c r="E249" s="18">
        <f t="shared" si="2"/>
        <v>0</v>
      </c>
      <c r="F249" s="18">
        <f t="shared" si="2"/>
        <v>0</v>
      </c>
      <c r="G249" s="18">
        <f t="shared" si="2"/>
        <v>0</v>
      </c>
      <c r="H249" s="18">
        <f t="shared" si="2"/>
        <v>0</v>
      </c>
      <c r="I249" s="18">
        <f t="shared" si="2"/>
        <v>0</v>
      </c>
      <c r="J249" s="18">
        <f t="shared" si="2"/>
        <v>0</v>
      </c>
      <c r="K249" s="59">
        <f t="shared" si="0"/>
        <v>0</v>
      </c>
    </row>
    <row r="250" spans="1:11" ht="15.75" customHeight="1" x14ac:dyDescent="0.3">
      <c r="A250" s="27" t="s">
        <v>35</v>
      </c>
      <c r="B250" s="18">
        <f t="shared" si="2"/>
        <v>9.4</v>
      </c>
      <c r="C250" s="18">
        <f t="shared" si="2"/>
        <v>1.8</v>
      </c>
      <c r="D250" s="18">
        <f t="shared" si="2"/>
        <v>0.8</v>
      </c>
      <c r="E250" s="18">
        <f t="shared" si="2"/>
        <v>0</v>
      </c>
      <c r="F250" s="18">
        <f t="shared" si="2"/>
        <v>0</v>
      </c>
      <c r="G250" s="18">
        <f t="shared" si="2"/>
        <v>0</v>
      </c>
      <c r="H250" s="18">
        <f t="shared" si="2"/>
        <v>0</v>
      </c>
      <c r="I250" s="18">
        <f t="shared" si="2"/>
        <v>0</v>
      </c>
      <c r="J250" s="18">
        <f t="shared" si="2"/>
        <v>0</v>
      </c>
      <c r="K250" s="59">
        <f t="shared" si="0"/>
        <v>12</v>
      </c>
    </row>
    <row r="251" spans="1:11" ht="15.75" customHeight="1" x14ac:dyDescent="0.3">
      <c r="A251" s="29"/>
      <c r="B251" s="19"/>
      <c r="C251" s="19"/>
      <c r="D251" s="19"/>
      <c r="E251" s="19"/>
      <c r="F251" s="19"/>
      <c r="G251" s="19"/>
      <c r="H251" s="19"/>
      <c r="I251" s="19"/>
      <c r="J251" s="19"/>
      <c r="K251" s="19"/>
    </row>
    <row r="252" spans="1:11" ht="15.75" customHeight="1" x14ac:dyDescent="0.25">
      <c r="A252" s="63" t="s">
        <v>21</v>
      </c>
      <c r="B252" s="63">
        <f>SUM(B228:B250)</f>
        <v>209.4</v>
      </c>
      <c r="C252" s="63">
        <f t="shared" ref="C252:J252" si="3">SUM(C228:C250)</f>
        <v>200.40000000000003</v>
      </c>
      <c r="D252" s="63">
        <f t="shared" si="3"/>
        <v>14.600000000000001</v>
      </c>
      <c r="E252" s="63">
        <f t="shared" si="3"/>
        <v>0.2</v>
      </c>
      <c r="F252" s="63">
        <f t="shared" si="3"/>
        <v>0</v>
      </c>
      <c r="G252" s="63">
        <f t="shared" si="3"/>
        <v>0</v>
      </c>
      <c r="H252" s="63">
        <f t="shared" si="3"/>
        <v>0</v>
      </c>
      <c r="I252" s="63">
        <f t="shared" si="3"/>
        <v>0</v>
      </c>
      <c r="J252" s="63">
        <f t="shared" si="3"/>
        <v>0</v>
      </c>
      <c r="K252" s="63">
        <f>SUM(K225:K251)</f>
        <v>230.19999999999996</v>
      </c>
    </row>
    <row r="253" spans="1:11" ht="15.75" customHeight="1" x14ac:dyDescent="0.2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</row>
  </sheetData>
  <mergeCells count="126">
    <mergeCell ref="A218:E218"/>
    <mergeCell ref="G218:J218"/>
    <mergeCell ref="A219:E219"/>
    <mergeCell ref="G219:J219"/>
    <mergeCell ref="A221:K221"/>
    <mergeCell ref="A222:K222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A50:K50"/>
    <mergeCell ref="E51:F51"/>
    <mergeCell ref="A80:A81"/>
    <mergeCell ref="B80:B81"/>
    <mergeCell ref="C80:C81"/>
    <mergeCell ref="D80:D81"/>
    <mergeCell ref="E80:E81"/>
    <mergeCell ref="A216:E216"/>
    <mergeCell ref="A217:C217"/>
    <mergeCell ref="G217:I217"/>
    <mergeCell ref="A93:K93"/>
    <mergeCell ref="E94:F94"/>
    <mergeCell ref="F80:F81"/>
    <mergeCell ref="G80:G81"/>
    <mergeCell ref="A87:E87"/>
    <mergeCell ref="A88:C88"/>
    <mergeCell ref="G88:I88"/>
    <mergeCell ref="A89:E89"/>
    <mergeCell ref="A90:E90"/>
    <mergeCell ref="J80:J81"/>
    <mergeCell ref="K80:K81"/>
    <mergeCell ref="G166:G167"/>
    <mergeCell ref="H166:H167"/>
    <mergeCell ref="G174:I174"/>
    <mergeCell ref="G175:J175"/>
    <mergeCell ref="G176:J176"/>
    <mergeCell ref="I166:I167"/>
    <mergeCell ref="J166:J167"/>
    <mergeCell ref="A135:K135"/>
    <mergeCell ref="A136:K136"/>
    <mergeCell ref="E137:F137"/>
    <mergeCell ref="A166:A167"/>
    <mergeCell ref="B166:B167"/>
    <mergeCell ref="C166:C167"/>
    <mergeCell ref="D166:D167"/>
    <mergeCell ref="K166:K167"/>
    <mergeCell ref="E166:E167"/>
    <mergeCell ref="F166:F167"/>
    <mergeCell ref="A173:E173"/>
    <mergeCell ref="A174:C174"/>
    <mergeCell ref="A175:E175"/>
    <mergeCell ref="A176:E176"/>
    <mergeCell ref="A178:K178"/>
    <mergeCell ref="F209:F210"/>
    <mergeCell ref="G209:G210"/>
    <mergeCell ref="H209:H210"/>
    <mergeCell ref="I209:I210"/>
    <mergeCell ref="J209:J210"/>
    <mergeCell ref="K209:K210"/>
    <mergeCell ref="A179:K179"/>
    <mergeCell ref="E180:F180"/>
    <mergeCell ref="A209:A210"/>
    <mergeCell ref="B209:B210"/>
    <mergeCell ref="C209:C210"/>
    <mergeCell ref="D209:D210"/>
    <mergeCell ref="E209:E210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G45:I45"/>
    <mergeCell ref="G46:J46"/>
    <mergeCell ref="G47:J47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4:E44"/>
    <mergeCell ref="A45:C45"/>
    <mergeCell ref="A46:E46"/>
    <mergeCell ref="A47:E47"/>
    <mergeCell ref="A49:K49"/>
    <mergeCell ref="H80:H81"/>
    <mergeCell ref="I80:I81"/>
    <mergeCell ref="A130:E130"/>
    <mergeCell ref="A131:C131"/>
    <mergeCell ref="G131:I131"/>
    <mergeCell ref="A132:E132"/>
    <mergeCell ref="G132:J132"/>
    <mergeCell ref="A133:E133"/>
    <mergeCell ref="G133:J133"/>
    <mergeCell ref="H123:H124"/>
    <mergeCell ref="I123:I124"/>
    <mergeCell ref="J123:J124"/>
    <mergeCell ref="K123:K124"/>
    <mergeCell ref="A123:A124"/>
    <mergeCell ref="B123:B124"/>
    <mergeCell ref="C123:C124"/>
    <mergeCell ref="D123:D124"/>
    <mergeCell ref="E123:E124"/>
    <mergeCell ref="F123:F124"/>
    <mergeCell ref="G123:G124"/>
    <mergeCell ref="G89:J89"/>
    <mergeCell ref="G90:J90"/>
    <mergeCell ref="A92:K9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253"/>
  <sheetViews>
    <sheetView topLeftCell="A252" workbookViewId="0">
      <selection activeCell="K252" sqref="K252:K253"/>
    </sheetView>
  </sheetViews>
  <sheetFormatPr defaultColWidth="12.6328125" defaultRowHeight="15.75" customHeight="1" x14ac:dyDescent="0.25"/>
  <sheetData>
    <row r="1" spans="1:11" ht="14" x14ac:dyDescent="0.3">
      <c r="A1" s="65" t="s">
        <v>0</v>
      </c>
      <c r="B1" s="66"/>
      <c r="C1" s="66"/>
      <c r="D1" s="66"/>
      <c r="E1" s="66"/>
      <c r="F1" s="2"/>
      <c r="G1" s="2"/>
      <c r="H1" s="2"/>
      <c r="I1" s="2"/>
      <c r="J1" s="2"/>
      <c r="K1" s="2"/>
    </row>
    <row r="2" spans="1:11" ht="14" x14ac:dyDescent="0.3">
      <c r="A2" s="65" t="s">
        <v>1</v>
      </c>
      <c r="B2" s="66"/>
      <c r="C2" s="66"/>
      <c r="D2" s="2"/>
      <c r="E2" s="2"/>
      <c r="F2" s="2"/>
      <c r="G2" s="65" t="s">
        <v>67</v>
      </c>
      <c r="H2" s="66"/>
      <c r="I2" s="66"/>
      <c r="J2" s="1"/>
      <c r="K2" s="2"/>
    </row>
    <row r="3" spans="1:11" ht="14" x14ac:dyDescent="0.3">
      <c r="A3" s="65" t="s">
        <v>3</v>
      </c>
      <c r="B3" s="66"/>
      <c r="C3" s="66"/>
      <c r="D3" s="66"/>
      <c r="E3" s="66"/>
      <c r="F3" s="2"/>
      <c r="G3" s="65" t="s">
        <v>4</v>
      </c>
      <c r="H3" s="66"/>
      <c r="I3" s="66"/>
      <c r="J3" s="66"/>
      <c r="K3" s="2"/>
    </row>
    <row r="4" spans="1:11" ht="14" x14ac:dyDescent="0.3">
      <c r="A4" s="65" t="s">
        <v>5</v>
      </c>
      <c r="B4" s="66"/>
      <c r="C4" s="66"/>
      <c r="D4" s="66"/>
      <c r="E4" s="66"/>
      <c r="F4" s="2"/>
      <c r="G4" s="65" t="s">
        <v>6</v>
      </c>
      <c r="H4" s="66"/>
      <c r="I4" s="66"/>
      <c r="J4" s="6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60" t="s">
        <v>7</v>
      </c>
      <c r="B6" s="61"/>
      <c r="C6" s="61"/>
      <c r="D6" s="61"/>
      <c r="E6" s="61"/>
      <c r="F6" s="61"/>
      <c r="G6" s="61"/>
      <c r="H6" s="61"/>
      <c r="I6" s="61"/>
      <c r="J6" s="61"/>
      <c r="K6" s="62"/>
    </row>
    <row r="7" spans="1:11" ht="14" x14ac:dyDescent="0.3">
      <c r="A7" s="67" t="s">
        <v>8</v>
      </c>
      <c r="B7" s="68"/>
      <c r="C7" s="68"/>
      <c r="D7" s="68"/>
      <c r="E7" s="68"/>
      <c r="F7" s="68"/>
      <c r="G7" s="68"/>
      <c r="H7" s="68"/>
      <c r="I7" s="68"/>
      <c r="J7" s="68"/>
      <c r="K7" s="69"/>
    </row>
    <row r="8" spans="1:11" ht="14" x14ac:dyDescent="0.3">
      <c r="A8" s="4" t="s">
        <v>9</v>
      </c>
      <c r="B8" s="5"/>
      <c r="C8" s="5"/>
      <c r="D8" s="5"/>
      <c r="E8" s="70" t="s">
        <v>10</v>
      </c>
      <c r="F8" s="71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59">
        <v>-185</v>
      </c>
    </row>
    <row r="11" spans="1:11" ht="15.75" customHeight="1" x14ac:dyDescent="0.25">
      <c r="A11" s="12" t="s">
        <v>23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4">
        <v>0</v>
      </c>
    </row>
    <row r="12" spans="1:11" ht="15.75" customHeight="1" x14ac:dyDescent="0.25">
      <c r="A12" s="12"/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0</v>
      </c>
    </row>
    <row r="13" spans="1:11" ht="14" x14ac:dyDescent="0.3">
      <c r="A13" s="27" t="s">
        <v>24</v>
      </c>
      <c r="B13" s="18">
        <v>2</v>
      </c>
      <c r="C13" s="18">
        <v>2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9">
        <v>4</v>
      </c>
    </row>
    <row r="14" spans="1:11" ht="14" x14ac:dyDescent="0.3">
      <c r="A14" s="27"/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9">
        <v>0</v>
      </c>
    </row>
    <row r="15" spans="1:11" ht="14" x14ac:dyDescent="0.3">
      <c r="A15" s="27" t="s">
        <v>25</v>
      </c>
      <c r="B15" s="18">
        <v>0</v>
      </c>
      <c r="C15" s="18">
        <v>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9">
        <v>2</v>
      </c>
    </row>
    <row r="16" spans="1:11" ht="14" x14ac:dyDescent="0.3">
      <c r="A16" s="27"/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9">
        <v>0</v>
      </c>
    </row>
    <row r="17" spans="1:11" ht="14" x14ac:dyDescent="0.3">
      <c r="A17" s="27" t="s">
        <v>26</v>
      </c>
      <c r="B17" s="18">
        <v>7</v>
      </c>
      <c r="C17" s="18">
        <v>5</v>
      </c>
      <c r="D17" s="18">
        <v>1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9">
        <v>13</v>
      </c>
    </row>
    <row r="18" spans="1:11" ht="14" x14ac:dyDescent="0.3">
      <c r="A18" s="27"/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9">
        <v>0</v>
      </c>
    </row>
    <row r="19" spans="1:11" ht="14" x14ac:dyDescent="0.3">
      <c r="A19" s="27" t="s">
        <v>27</v>
      </c>
      <c r="B19" s="18">
        <v>4</v>
      </c>
      <c r="C19" s="18">
        <v>4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9">
        <v>8</v>
      </c>
    </row>
    <row r="20" spans="1:11" ht="14" x14ac:dyDescent="0.3">
      <c r="A20" s="27"/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9">
        <v>0</v>
      </c>
    </row>
    <row r="21" spans="1:11" ht="14" x14ac:dyDescent="0.3">
      <c r="A21" s="27" t="s">
        <v>28</v>
      </c>
      <c r="B21" s="18">
        <v>14</v>
      </c>
      <c r="C21" s="18">
        <v>10</v>
      </c>
      <c r="D21" s="18">
        <v>3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9">
        <v>27</v>
      </c>
    </row>
    <row r="22" spans="1:11" ht="14" x14ac:dyDescent="0.3">
      <c r="A22" s="27"/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9">
        <v>0</v>
      </c>
    </row>
    <row r="23" spans="1:11" ht="14" x14ac:dyDescent="0.3">
      <c r="A23" s="27" t="s">
        <v>29</v>
      </c>
      <c r="B23" s="18">
        <v>18</v>
      </c>
      <c r="C23" s="18">
        <v>58</v>
      </c>
      <c r="D23" s="18">
        <v>2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9">
        <v>78</v>
      </c>
    </row>
    <row r="24" spans="1:11" ht="14" x14ac:dyDescent="0.3">
      <c r="A24" s="27"/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9">
        <v>0</v>
      </c>
    </row>
    <row r="25" spans="1:11" ht="14" x14ac:dyDescent="0.3">
      <c r="A25" s="27" t="s">
        <v>30</v>
      </c>
      <c r="B25" s="18">
        <v>19</v>
      </c>
      <c r="C25" s="18">
        <v>52</v>
      </c>
      <c r="D25" s="18">
        <v>10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9">
        <v>81</v>
      </c>
    </row>
    <row r="26" spans="1:11" ht="14" x14ac:dyDescent="0.3">
      <c r="A26" s="27"/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9">
        <v>0</v>
      </c>
    </row>
    <row r="27" spans="1:11" ht="14" x14ac:dyDescent="0.3">
      <c r="A27" s="27" t="s">
        <v>31</v>
      </c>
      <c r="B27" s="18">
        <v>9</v>
      </c>
      <c r="C27" s="18">
        <v>17</v>
      </c>
      <c r="D27" s="18">
        <v>3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9">
        <v>29</v>
      </c>
    </row>
    <row r="28" spans="1:11" ht="14" x14ac:dyDescent="0.3">
      <c r="A28" s="27"/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9">
        <v>0</v>
      </c>
    </row>
    <row r="29" spans="1:11" ht="14" x14ac:dyDescent="0.3">
      <c r="A29" s="27" t="s">
        <v>32</v>
      </c>
      <c r="B29" s="18">
        <v>4</v>
      </c>
      <c r="C29" s="18">
        <v>3</v>
      </c>
      <c r="D29" s="18">
        <v>0</v>
      </c>
      <c r="E29" s="18">
        <v>0</v>
      </c>
      <c r="F29" s="18">
        <v>0</v>
      </c>
      <c r="G29" s="18">
        <v>1</v>
      </c>
      <c r="H29" s="18">
        <v>0</v>
      </c>
      <c r="I29" s="18">
        <v>0</v>
      </c>
      <c r="J29" s="18">
        <v>0</v>
      </c>
      <c r="K29" s="19">
        <v>8</v>
      </c>
    </row>
    <row r="30" spans="1:11" ht="14" x14ac:dyDescent="0.3">
      <c r="A30" s="27"/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9">
        <v>0</v>
      </c>
    </row>
    <row r="31" spans="1:11" ht="14" x14ac:dyDescent="0.3">
      <c r="A31" s="27" t="s">
        <v>33</v>
      </c>
      <c r="B31" s="18">
        <v>1</v>
      </c>
      <c r="C31" s="18">
        <v>4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9">
        <v>5</v>
      </c>
    </row>
    <row r="32" spans="1:11" ht="14" x14ac:dyDescent="0.3">
      <c r="A32" s="27"/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9">
        <v>0</v>
      </c>
    </row>
    <row r="33" spans="1:11" ht="14" x14ac:dyDescent="0.3">
      <c r="A33" s="27" t="s">
        <v>34</v>
      </c>
      <c r="B33" s="18">
        <v>6</v>
      </c>
      <c r="C33" s="18">
        <v>8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9">
        <v>14</v>
      </c>
    </row>
    <row r="34" spans="1:11" ht="14" x14ac:dyDescent="0.3">
      <c r="A34" s="27"/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9">
        <v>0</v>
      </c>
    </row>
    <row r="35" spans="1:11" ht="14" x14ac:dyDescent="0.3">
      <c r="A35" s="27" t="s">
        <v>35</v>
      </c>
      <c r="B35" s="18">
        <v>5</v>
      </c>
      <c r="C35" s="18">
        <v>11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9">
        <v>16</v>
      </c>
    </row>
    <row r="36" spans="1:11" ht="12.5" x14ac:dyDescent="0.25">
      <c r="A36" s="15"/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</row>
    <row r="37" spans="1:11" ht="12.5" x14ac:dyDescent="0.25">
      <c r="A37" s="63" t="s">
        <v>21</v>
      </c>
      <c r="B37" s="63">
        <v>89</v>
      </c>
      <c r="C37" s="63">
        <v>176</v>
      </c>
      <c r="D37" s="63">
        <v>19</v>
      </c>
      <c r="E37" s="63">
        <v>0</v>
      </c>
      <c r="F37" s="63">
        <v>0</v>
      </c>
      <c r="G37" s="63">
        <v>1</v>
      </c>
      <c r="H37" s="63">
        <v>0</v>
      </c>
      <c r="I37" s="63">
        <v>0</v>
      </c>
      <c r="J37" s="63">
        <v>0</v>
      </c>
      <c r="K37" s="63">
        <v>100</v>
      </c>
    </row>
    <row r="38" spans="1:11" ht="12.5" x14ac:dyDescent="0.2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1:11" ht="12.5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1:11" ht="12.5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65" t="s">
        <v>0</v>
      </c>
      <c r="B44" s="66"/>
      <c r="C44" s="66"/>
      <c r="D44" s="66"/>
      <c r="E44" s="66"/>
      <c r="F44" s="2"/>
      <c r="G44" s="2"/>
      <c r="H44" s="2"/>
      <c r="I44" s="2"/>
      <c r="J44" s="2"/>
      <c r="K44" s="2"/>
    </row>
    <row r="45" spans="1:11" ht="14" x14ac:dyDescent="0.3">
      <c r="A45" s="65" t="s">
        <v>1</v>
      </c>
      <c r="B45" s="66"/>
      <c r="C45" s="66"/>
      <c r="D45" s="2"/>
      <c r="E45" s="2"/>
      <c r="F45" s="2"/>
      <c r="G45" s="65" t="s">
        <v>68</v>
      </c>
      <c r="H45" s="66"/>
      <c r="I45" s="66"/>
      <c r="J45" s="1"/>
      <c r="K45" s="2"/>
    </row>
    <row r="46" spans="1:11" ht="14" x14ac:dyDescent="0.3">
      <c r="A46" s="65" t="s">
        <v>3</v>
      </c>
      <c r="B46" s="66"/>
      <c r="C46" s="66"/>
      <c r="D46" s="66"/>
      <c r="E46" s="66"/>
      <c r="F46" s="2"/>
      <c r="G46" s="65" t="s">
        <v>4</v>
      </c>
      <c r="H46" s="66"/>
      <c r="I46" s="66"/>
      <c r="J46" s="66"/>
      <c r="K46" s="2"/>
    </row>
    <row r="47" spans="1:11" ht="14" x14ac:dyDescent="0.3">
      <c r="A47" s="65" t="s">
        <v>5</v>
      </c>
      <c r="B47" s="66"/>
      <c r="C47" s="66"/>
      <c r="D47" s="66"/>
      <c r="E47" s="66"/>
      <c r="F47" s="2"/>
      <c r="G47" s="65" t="s">
        <v>6</v>
      </c>
      <c r="H47" s="66"/>
      <c r="I47" s="66"/>
      <c r="J47" s="6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60" t="s">
        <v>7</v>
      </c>
      <c r="B49" s="61"/>
      <c r="C49" s="61"/>
      <c r="D49" s="61"/>
      <c r="E49" s="61"/>
      <c r="F49" s="61"/>
      <c r="G49" s="61"/>
      <c r="H49" s="61"/>
      <c r="I49" s="61"/>
      <c r="J49" s="61"/>
      <c r="K49" s="62"/>
    </row>
    <row r="50" spans="1:11" ht="14" x14ac:dyDescent="0.3">
      <c r="A50" s="67" t="s">
        <v>8</v>
      </c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" x14ac:dyDescent="0.3">
      <c r="A51" s="4" t="s">
        <v>9</v>
      </c>
      <c r="B51" s="5"/>
      <c r="C51" s="5"/>
      <c r="D51" s="5"/>
      <c r="E51" s="70" t="s">
        <v>10</v>
      </c>
      <c r="F51" s="71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59">
        <v>-214</v>
      </c>
    </row>
    <row r="54" spans="1:11" ht="12.5" x14ac:dyDescent="0.25">
      <c r="A54" s="12" t="s">
        <v>23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0</v>
      </c>
    </row>
    <row r="55" spans="1:11" ht="12.5" x14ac:dyDescent="0.25">
      <c r="A55" s="12"/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4">
        <v>0</v>
      </c>
    </row>
    <row r="56" spans="1:11" ht="14" x14ac:dyDescent="0.3">
      <c r="A56" s="27" t="s">
        <v>24</v>
      </c>
      <c r="B56" s="18">
        <v>3</v>
      </c>
      <c r="C56" s="18">
        <v>9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9">
        <v>12</v>
      </c>
    </row>
    <row r="57" spans="1:11" ht="14" x14ac:dyDescent="0.3">
      <c r="A57" s="27"/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9">
        <v>0</v>
      </c>
    </row>
    <row r="58" spans="1:11" ht="14" x14ac:dyDescent="0.3">
      <c r="A58" s="27" t="s">
        <v>25</v>
      </c>
      <c r="B58" s="18">
        <v>1</v>
      </c>
      <c r="C58" s="18">
        <v>3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9">
        <v>4</v>
      </c>
    </row>
    <row r="59" spans="1:11" ht="14" x14ac:dyDescent="0.3">
      <c r="A59" s="27"/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9">
        <v>0</v>
      </c>
    </row>
    <row r="60" spans="1:11" ht="14" x14ac:dyDescent="0.3">
      <c r="A60" s="27" t="s">
        <v>26</v>
      </c>
      <c r="B60" s="18">
        <v>11</v>
      </c>
      <c r="C60" s="18">
        <v>2</v>
      </c>
      <c r="D60" s="18">
        <v>1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9">
        <v>14</v>
      </c>
    </row>
    <row r="61" spans="1:11" ht="14" x14ac:dyDescent="0.3">
      <c r="A61" s="27"/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9">
        <v>0</v>
      </c>
    </row>
    <row r="62" spans="1:11" ht="14" x14ac:dyDescent="0.3">
      <c r="A62" s="27" t="s">
        <v>27</v>
      </c>
      <c r="B62" s="18">
        <v>6</v>
      </c>
      <c r="C62" s="18">
        <v>2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9">
        <v>8</v>
      </c>
    </row>
    <row r="63" spans="1:11" ht="14" x14ac:dyDescent="0.3">
      <c r="A63" s="27"/>
      <c r="B63" s="18">
        <v>0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9">
        <v>0</v>
      </c>
    </row>
    <row r="64" spans="1:11" ht="14" x14ac:dyDescent="0.3">
      <c r="A64" s="27" t="s">
        <v>28</v>
      </c>
      <c r="B64" s="18">
        <v>18</v>
      </c>
      <c r="C64" s="18">
        <v>8</v>
      </c>
      <c r="D64" s="18">
        <v>1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9">
        <v>27</v>
      </c>
    </row>
    <row r="65" spans="1:11" ht="14" x14ac:dyDescent="0.3">
      <c r="A65" s="27"/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9">
        <v>0</v>
      </c>
    </row>
    <row r="66" spans="1:11" ht="14" x14ac:dyDescent="0.3">
      <c r="A66" s="27" t="s">
        <v>29</v>
      </c>
      <c r="B66" s="18">
        <v>26</v>
      </c>
      <c r="C66" s="18">
        <v>42</v>
      </c>
      <c r="D66" s="18">
        <v>3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9">
        <v>71</v>
      </c>
    </row>
    <row r="67" spans="1:11" ht="14" x14ac:dyDescent="0.3">
      <c r="A67" s="27"/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9">
        <v>0</v>
      </c>
    </row>
    <row r="68" spans="1:11" ht="14" x14ac:dyDescent="0.3">
      <c r="A68" s="27" t="s">
        <v>30</v>
      </c>
      <c r="B68" s="18">
        <v>25</v>
      </c>
      <c r="C68" s="18">
        <v>63</v>
      </c>
      <c r="D68" s="18">
        <v>9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9">
        <v>97</v>
      </c>
    </row>
    <row r="69" spans="1:11" ht="14" x14ac:dyDescent="0.3">
      <c r="A69" s="27"/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9">
        <v>0</v>
      </c>
    </row>
    <row r="70" spans="1:11" ht="14" x14ac:dyDescent="0.3">
      <c r="A70" s="27" t="s">
        <v>31</v>
      </c>
      <c r="B70" s="18">
        <v>14</v>
      </c>
      <c r="C70" s="18">
        <v>15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9">
        <v>29</v>
      </c>
    </row>
    <row r="71" spans="1:11" ht="14" x14ac:dyDescent="0.3">
      <c r="A71" s="27"/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9">
        <v>0</v>
      </c>
    </row>
    <row r="72" spans="1:11" ht="14" x14ac:dyDescent="0.3">
      <c r="A72" s="27" t="s">
        <v>32</v>
      </c>
      <c r="B72" s="18">
        <v>10</v>
      </c>
      <c r="C72" s="18">
        <v>6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9">
        <v>16</v>
      </c>
    </row>
    <row r="73" spans="1:11" ht="14" x14ac:dyDescent="0.3">
      <c r="A73" s="27"/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9">
        <v>0</v>
      </c>
    </row>
    <row r="74" spans="1:11" ht="14" x14ac:dyDescent="0.3">
      <c r="A74" s="27" t="s">
        <v>33</v>
      </c>
      <c r="B74" s="18">
        <v>5</v>
      </c>
      <c r="C74" s="18">
        <v>1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9">
        <v>6</v>
      </c>
    </row>
    <row r="75" spans="1:11" ht="14" x14ac:dyDescent="0.3">
      <c r="A75" s="27"/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9">
        <v>0</v>
      </c>
    </row>
    <row r="76" spans="1:11" ht="14" x14ac:dyDescent="0.3">
      <c r="A76" s="27" t="s">
        <v>34</v>
      </c>
      <c r="B76" s="18">
        <v>3</v>
      </c>
      <c r="C76" s="18">
        <v>9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9">
        <v>12</v>
      </c>
    </row>
    <row r="77" spans="1:11" ht="14" x14ac:dyDescent="0.3">
      <c r="A77" s="27"/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9">
        <v>0</v>
      </c>
    </row>
    <row r="78" spans="1:11" ht="14" x14ac:dyDescent="0.3">
      <c r="A78" s="27" t="s">
        <v>35</v>
      </c>
      <c r="B78" s="18">
        <v>12</v>
      </c>
      <c r="C78" s="18">
        <v>6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9">
        <v>18</v>
      </c>
    </row>
    <row r="79" spans="1:11" ht="12.5" x14ac:dyDescent="0.25">
      <c r="A79" s="15"/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</row>
    <row r="80" spans="1:11" ht="12.5" x14ac:dyDescent="0.25">
      <c r="A80" s="63" t="s">
        <v>21</v>
      </c>
      <c r="B80" s="63">
        <v>134</v>
      </c>
      <c r="C80" s="63">
        <v>166</v>
      </c>
      <c r="D80" s="63">
        <v>14</v>
      </c>
      <c r="E80" s="63">
        <v>0</v>
      </c>
      <c r="F80" s="63">
        <v>0</v>
      </c>
      <c r="G80" s="63">
        <v>0</v>
      </c>
      <c r="H80" s="63">
        <v>0</v>
      </c>
      <c r="I80" s="63">
        <v>0</v>
      </c>
      <c r="J80" s="63">
        <v>0</v>
      </c>
      <c r="K80" s="63">
        <v>100</v>
      </c>
    </row>
    <row r="81" spans="1:11" ht="12.5" x14ac:dyDescent="0.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</row>
    <row r="82" spans="1:11" ht="12.5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</row>
    <row r="83" spans="1:11" ht="12.5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65" t="s">
        <v>0</v>
      </c>
      <c r="B87" s="66"/>
      <c r="C87" s="66"/>
      <c r="D87" s="66"/>
      <c r="E87" s="66"/>
      <c r="F87" s="2"/>
      <c r="G87" s="2"/>
      <c r="H87" s="2"/>
      <c r="I87" s="2"/>
      <c r="J87" s="2"/>
      <c r="K87" s="2"/>
    </row>
    <row r="88" spans="1:11" ht="14" x14ac:dyDescent="0.3">
      <c r="A88" s="65" t="s">
        <v>1</v>
      </c>
      <c r="B88" s="66"/>
      <c r="C88" s="66"/>
      <c r="D88" s="2"/>
      <c r="E88" s="2"/>
      <c r="F88" s="2"/>
      <c r="G88" s="65" t="s">
        <v>69</v>
      </c>
      <c r="H88" s="66"/>
      <c r="I88" s="66"/>
      <c r="J88" s="1"/>
      <c r="K88" s="2"/>
    </row>
    <row r="89" spans="1:11" ht="14" x14ac:dyDescent="0.3">
      <c r="A89" s="65" t="s">
        <v>3</v>
      </c>
      <c r="B89" s="66"/>
      <c r="C89" s="66"/>
      <c r="D89" s="66"/>
      <c r="E89" s="66"/>
      <c r="F89" s="2"/>
      <c r="G89" s="65" t="s">
        <v>4</v>
      </c>
      <c r="H89" s="66"/>
      <c r="I89" s="66"/>
      <c r="J89" s="66"/>
      <c r="K89" s="2"/>
    </row>
    <row r="90" spans="1:11" ht="14" x14ac:dyDescent="0.3">
      <c r="A90" s="65" t="s">
        <v>5</v>
      </c>
      <c r="B90" s="66"/>
      <c r="C90" s="66"/>
      <c r="D90" s="66"/>
      <c r="E90" s="66"/>
      <c r="F90" s="2"/>
      <c r="G90" s="65" t="s">
        <v>6</v>
      </c>
      <c r="H90" s="66"/>
      <c r="I90" s="66"/>
      <c r="J90" s="6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60" t="s">
        <v>7</v>
      </c>
      <c r="B92" s="61"/>
      <c r="C92" s="61"/>
      <c r="D92" s="61"/>
      <c r="E92" s="61"/>
      <c r="F92" s="61"/>
      <c r="G92" s="61"/>
      <c r="H92" s="61"/>
      <c r="I92" s="61"/>
      <c r="J92" s="61"/>
      <c r="K92" s="62"/>
    </row>
    <row r="93" spans="1:11" ht="14" x14ac:dyDescent="0.3">
      <c r="A93" s="67" t="s">
        <v>8</v>
      </c>
      <c r="B93" s="68"/>
      <c r="C93" s="68"/>
      <c r="D93" s="68"/>
      <c r="E93" s="68"/>
      <c r="F93" s="68"/>
      <c r="G93" s="68"/>
      <c r="H93" s="68"/>
      <c r="I93" s="68"/>
      <c r="J93" s="68"/>
      <c r="K93" s="69"/>
    </row>
    <row r="94" spans="1:11" ht="14" x14ac:dyDescent="0.3">
      <c r="A94" s="4" t="s">
        <v>9</v>
      </c>
      <c r="B94" s="5"/>
      <c r="C94" s="5"/>
      <c r="D94" s="5"/>
      <c r="E94" s="70" t="s">
        <v>10</v>
      </c>
      <c r="F94" s="71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9" t="s">
        <v>22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59">
        <v>-352</v>
      </c>
    </row>
    <row r="97" spans="1:11" ht="12.5" x14ac:dyDescent="0.25">
      <c r="A97" s="12" t="s">
        <v>23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4">
        <v>0</v>
      </c>
    </row>
    <row r="98" spans="1:11" ht="12.5" x14ac:dyDescent="0.25">
      <c r="A98" s="12"/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0</v>
      </c>
    </row>
    <row r="99" spans="1:11" ht="14" x14ac:dyDescent="0.3">
      <c r="A99" s="27" t="s">
        <v>24</v>
      </c>
      <c r="B99" s="18">
        <v>9</v>
      </c>
      <c r="C99" s="18">
        <v>8</v>
      </c>
      <c r="D99" s="18">
        <v>1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9">
        <v>18</v>
      </c>
    </row>
    <row r="100" spans="1:11" ht="14" x14ac:dyDescent="0.3">
      <c r="A100" s="27"/>
      <c r="B100" s="18">
        <v>0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  <c r="K100" s="19">
        <v>0</v>
      </c>
    </row>
    <row r="101" spans="1:11" ht="14" x14ac:dyDescent="0.3">
      <c r="A101" s="27" t="s">
        <v>25</v>
      </c>
      <c r="B101" s="18">
        <v>6</v>
      </c>
      <c r="C101" s="18">
        <v>4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9">
        <v>10</v>
      </c>
    </row>
    <row r="102" spans="1:11" ht="14" x14ac:dyDescent="0.3">
      <c r="A102" s="27"/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9">
        <v>0</v>
      </c>
    </row>
    <row r="103" spans="1:11" ht="14" x14ac:dyDescent="0.3">
      <c r="A103" s="27" t="s">
        <v>26</v>
      </c>
      <c r="B103" s="18">
        <v>6</v>
      </c>
      <c r="C103" s="18">
        <v>1</v>
      </c>
      <c r="D103" s="18">
        <v>1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9">
        <v>8</v>
      </c>
    </row>
    <row r="104" spans="1:11" ht="14" x14ac:dyDescent="0.3">
      <c r="A104" s="27"/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9">
        <v>0</v>
      </c>
    </row>
    <row r="105" spans="1:11" ht="14" x14ac:dyDescent="0.3">
      <c r="A105" s="27" t="s">
        <v>27</v>
      </c>
      <c r="B105" s="18">
        <v>7</v>
      </c>
      <c r="C105" s="18">
        <v>1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9">
        <v>8</v>
      </c>
    </row>
    <row r="106" spans="1:11" ht="14" x14ac:dyDescent="0.3">
      <c r="A106" s="27"/>
      <c r="B106" s="18">
        <v>0</v>
      </c>
      <c r="C106" s="18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9">
        <v>0</v>
      </c>
    </row>
    <row r="107" spans="1:11" ht="14" x14ac:dyDescent="0.3">
      <c r="A107" s="27" t="s">
        <v>28</v>
      </c>
      <c r="B107" s="18">
        <v>19</v>
      </c>
      <c r="C107" s="18">
        <v>19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9">
        <v>38</v>
      </c>
    </row>
    <row r="108" spans="1:11" ht="14" x14ac:dyDescent="0.3">
      <c r="A108" s="27"/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9">
        <v>0</v>
      </c>
    </row>
    <row r="109" spans="1:11" ht="14" x14ac:dyDescent="0.3">
      <c r="A109" s="27" t="s">
        <v>29</v>
      </c>
      <c r="B109" s="18">
        <v>53</v>
      </c>
      <c r="C109" s="18">
        <v>69</v>
      </c>
      <c r="D109" s="18">
        <v>8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9">
        <v>130</v>
      </c>
    </row>
    <row r="110" spans="1:11" ht="14" x14ac:dyDescent="0.3">
      <c r="A110" s="27"/>
      <c r="B110" s="18">
        <v>0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9">
        <v>0</v>
      </c>
    </row>
    <row r="111" spans="1:11" ht="14" x14ac:dyDescent="0.3">
      <c r="A111" s="27" t="s">
        <v>30</v>
      </c>
      <c r="B111" s="18">
        <v>47</v>
      </c>
      <c r="C111" s="18">
        <v>77</v>
      </c>
      <c r="D111" s="18">
        <v>10</v>
      </c>
      <c r="E111" s="18">
        <v>1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9">
        <v>135</v>
      </c>
    </row>
    <row r="112" spans="1:11" ht="14" x14ac:dyDescent="0.3">
      <c r="A112" s="27"/>
      <c r="B112" s="18">
        <v>0</v>
      </c>
      <c r="C112" s="18">
        <v>0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9">
        <v>0</v>
      </c>
    </row>
    <row r="113" spans="1:11" ht="14" x14ac:dyDescent="0.3">
      <c r="A113" s="27" t="s">
        <v>31</v>
      </c>
      <c r="B113" s="18">
        <v>40</v>
      </c>
      <c r="C113" s="18">
        <v>16</v>
      </c>
      <c r="D113" s="18">
        <v>1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9">
        <v>57</v>
      </c>
    </row>
    <row r="114" spans="1:11" ht="14" x14ac:dyDescent="0.3">
      <c r="A114" s="27"/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9">
        <v>0</v>
      </c>
    </row>
    <row r="115" spans="1:11" ht="14" x14ac:dyDescent="0.3">
      <c r="A115" s="27" t="s">
        <v>32</v>
      </c>
      <c r="B115" s="18">
        <v>10</v>
      </c>
      <c r="C115" s="18">
        <v>4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9">
        <v>14</v>
      </c>
    </row>
    <row r="116" spans="1:11" ht="14" x14ac:dyDescent="0.3">
      <c r="A116" s="27"/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9">
        <v>0</v>
      </c>
    </row>
    <row r="117" spans="1:11" ht="14" x14ac:dyDescent="0.3">
      <c r="A117" s="27" t="s">
        <v>33</v>
      </c>
      <c r="B117" s="18">
        <v>9</v>
      </c>
      <c r="C117" s="18">
        <v>2</v>
      </c>
      <c r="D117" s="18">
        <v>1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9">
        <v>12</v>
      </c>
    </row>
    <row r="118" spans="1:11" ht="14" x14ac:dyDescent="0.3">
      <c r="A118" s="27"/>
      <c r="B118" s="18">
        <v>0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9">
        <v>0</v>
      </c>
    </row>
    <row r="119" spans="1:11" ht="14" x14ac:dyDescent="0.3">
      <c r="A119" s="27" t="s">
        <v>34</v>
      </c>
      <c r="B119" s="18">
        <v>6</v>
      </c>
      <c r="C119" s="18">
        <v>4</v>
      </c>
      <c r="D119" s="18">
        <v>1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9">
        <v>11</v>
      </c>
    </row>
    <row r="120" spans="1:11" ht="14" x14ac:dyDescent="0.3">
      <c r="A120" s="27"/>
      <c r="B120" s="18">
        <v>0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  <c r="K120" s="19">
        <v>0</v>
      </c>
    </row>
    <row r="121" spans="1:11" ht="14" x14ac:dyDescent="0.3">
      <c r="A121" s="27" t="s">
        <v>35</v>
      </c>
      <c r="B121" s="18">
        <v>8</v>
      </c>
      <c r="C121" s="18">
        <v>3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9">
        <v>11</v>
      </c>
    </row>
    <row r="122" spans="1:11" ht="12.5" x14ac:dyDescent="0.25">
      <c r="A122" s="15"/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</row>
    <row r="123" spans="1:11" ht="12.5" x14ac:dyDescent="0.25">
      <c r="A123" s="63" t="s">
        <v>21</v>
      </c>
      <c r="B123" s="63">
        <v>220</v>
      </c>
      <c r="C123" s="63">
        <v>208</v>
      </c>
      <c r="D123" s="63">
        <v>23</v>
      </c>
      <c r="E123" s="63">
        <v>1</v>
      </c>
      <c r="F123" s="63">
        <v>0</v>
      </c>
      <c r="G123" s="63">
        <v>0</v>
      </c>
      <c r="H123" s="63">
        <v>0</v>
      </c>
      <c r="I123" s="63">
        <v>0</v>
      </c>
      <c r="J123" s="63">
        <v>0</v>
      </c>
      <c r="K123" s="63">
        <v>100</v>
      </c>
    </row>
    <row r="124" spans="1:11" ht="12.5" x14ac:dyDescent="0.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2.5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 spans="1:11" ht="12.5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65" t="s">
        <v>0</v>
      </c>
      <c r="B130" s="66"/>
      <c r="C130" s="66"/>
      <c r="D130" s="66"/>
      <c r="E130" s="66"/>
      <c r="F130" s="2"/>
      <c r="G130" s="2"/>
      <c r="H130" s="2"/>
      <c r="I130" s="2"/>
      <c r="J130" s="2"/>
      <c r="K130" s="2"/>
    </row>
    <row r="131" spans="1:11" ht="14" x14ac:dyDescent="0.3">
      <c r="A131" s="65" t="s">
        <v>1</v>
      </c>
      <c r="B131" s="66"/>
      <c r="C131" s="66"/>
      <c r="D131" s="2"/>
      <c r="E131" s="2"/>
      <c r="F131" s="2"/>
      <c r="G131" s="65" t="s">
        <v>70</v>
      </c>
      <c r="H131" s="66"/>
      <c r="I131" s="66"/>
      <c r="J131" s="1"/>
      <c r="K131" s="2"/>
    </row>
    <row r="132" spans="1:11" ht="14" x14ac:dyDescent="0.3">
      <c r="A132" s="65" t="s">
        <v>3</v>
      </c>
      <c r="B132" s="66"/>
      <c r="C132" s="66"/>
      <c r="D132" s="66"/>
      <c r="E132" s="66"/>
      <c r="F132" s="2"/>
      <c r="G132" s="65" t="s">
        <v>4</v>
      </c>
      <c r="H132" s="66"/>
      <c r="I132" s="66"/>
      <c r="J132" s="66"/>
      <c r="K132" s="2"/>
    </row>
    <row r="133" spans="1:11" ht="14" x14ac:dyDescent="0.3">
      <c r="A133" s="65" t="s">
        <v>5</v>
      </c>
      <c r="B133" s="66"/>
      <c r="C133" s="66"/>
      <c r="D133" s="66"/>
      <c r="E133" s="66"/>
      <c r="F133" s="2"/>
      <c r="G133" s="65" t="s">
        <v>6</v>
      </c>
      <c r="H133" s="66"/>
      <c r="I133" s="66"/>
      <c r="J133" s="6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60" t="s">
        <v>7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2"/>
    </row>
    <row r="136" spans="1:11" ht="14" x14ac:dyDescent="0.3">
      <c r="A136" s="67" t="s">
        <v>8</v>
      </c>
      <c r="B136" s="68"/>
      <c r="C136" s="68"/>
      <c r="D136" s="68"/>
      <c r="E136" s="68"/>
      <c r="F136" s="68"/>
      <c r="G136" s="68"/>
      <c r="H136" s="68"/>
      <c r="I136" s="68"/>
      <c r="J136" s="68"/>
      <c r="K136" s="69"/>
    </row>
    <row r="137" spans="1:11" ht="14" x14ac:dyDescent="0.3">
      <c r="A137" s="4" t="s">
        <v>9</v>
      </c>
      <c r="B137" s="5"/>
      <c r="C137" s="5"/>
      <c r="D137" s="5"/>
      <c r="E137" s="70" t="s">
        <v>10</v>
      </c>
      <c r="F137" s="71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>
        <v>0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59">
        <v>-214</v>
      </c>
    </row>
    <row r="140" spans="1:11" ht="12.5" x14ac:dyDescent="0.25">
      <c r="A140" s="12" t="s">
        <v>23</v>
      </c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0</v>
      </c>
    </row>
    <row r="141" spans="1:11" ht="12.5" x14ac:dyDescent="0.25">
      <c r="A141" s="12"/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4">
        <v>0</v>
      </c>
    </row>
    <row r="142" spans="1:11" ht="14" x14ac:dyDescent="0.3">
      <c r="A142" s="27" t="s">
        <v>24</v>
      </c>
      <c r="B142" s="18">
        <v>3</v>
      </c>
      <c r="C142" s="18">
        <v>9</v>
      </c>
      <c r="D142" s="18">
        <v>0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9">
        <v>12</v>
      </c>
    </row>
    <row r="143" spans="1:11" ht="14" x14ac:dyDescent="0.3">
      <c r="A143" s="27"/>
      <c r="B143" s="18">
        <v>0</v>
      </c>
      <c r="C143" s="18">
        <v>0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9">
        <v>0</v>
      </c>
    </row>
    <row r="144" spans="1:11" ht="14" x14ac:dyDescent="0.3">
      <c r="A144" s="27" t="s">
        <v>25</v>
      </c>
      <c r="B144" s="18">
        <v>1</v>
      </c>
      <c r="C144" s="18">
        <v>3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9">
        <v>4</v>
      </c>
    </row>
    <row r="145" spans="1:11" ht="14" x14ac:dyDescent="0.3">
      <c r="A145" s="27"/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  <c r="K145" s="19">
        <v>0</v>
      </c>
    </row>
    <row r="146" spans="1:11" ht="14" x14ac:dyDescent="0.3">
      <c r="A146" s="27" t="s">
        <v>26</v>
      </c>
      <c r="B146" s="18">
        <v>11</v>
      </c>
      <c r="C146" s="18">
        <v>2</v>
      </c>
      <c r="D146" s="18">
        <v>1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9">
        <v>14</v>
      </c>
    </row>
    <row r="147" spans="1:11" ht="14" x14ac:dyDescent="0.3">
      <c r="A147" s="27"/>
      <c r="B147" s="18">
        <v>0</v>
      </c>
      <c r="C147" s="18">
        <v>0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0</v>
      </c>
      <c r="K147" s="19">
        <v>0</v>
      </c>
    </row>
    <row r="148" spans="1:11" ht="14" x14ac:dyDescent="0.3">
      <c r="A148" s="27" t="s">
        <v>27</v>
      </c>
      <c r="B148" s="18">
        <v>6</v>
      </c>
      <c r="C148" s="18">
        <v>2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9">
        <v>8</v>
      </c>
    </row>
    <row r="149" spans="1:11" ht="14" x14ac:dyDescent="0.3">
      <c r="A149" s="27"/>
      <c r="B149" s="18">
        <v>0</v>
      </c>
      <c r="C149" s="18">
        <v>0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  <c r="K149" s="19">
        <v>0</v>
      </c>
    </row>
    <row r="150" spans="1:11" ht="14" x14ac:dyDescent="0.3">
      <c r="A150" s="27" t="s">
        <v>28</v>
      </c>
      <c r="B150" s="18">
        <v>18</v>
      </c>
      <c r="C150" s="18">
        <v>8</v>
      </c>
      <c r="D150" s="18">
        <v>1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9">
        <v>27</v>
      </c>
    </row>
    <row r="151" spans="1:11" ht="14" x14ac:dyDescent="0.3">
      <c r="A151" s="27"/>
      <c r="B151" s="18">
        <v>0</v>
      </c>
      <c r="C151" s="18">
        <v>0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9">
        <v>0</v>
      </c>
    </row>
    <row r="152" spans="1:11" ht="14" x14ac:dyDescent="0.3">
      <c r="A152" s="27" t="s">
        <v>29</v>
      </c>
      <c r="B152" s="18">
        <v>26</v>
      </c>
      <c r="C152" s="18">
        <v>42</v>
      </c>
      <c r="D152" s="18">
        <v>3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9">
        <v>71</v>
      </c>
    </row>
    <row r="153" spans="1:11" ht="14" x14ac:dyDescent="0.3">
      <c r="A153" s="27"/>
      <c r="B153" s="18">
        <v>0</v>
      </c>
      <c r="C153" s="18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0</v>
      </c>
      <c r="K153" s="19">
        <v>0</v>
      </c>
    </row>
    <row r="154" spans="1:11" ht="14" x14ac:dyDescent="0.3">
      <c r="A154" s="27" t="s">
        <v>30</v>
      </c>
      <c r="B154" s="18">
        <v>25</v>
      </c>
      <c r="C154" s="18">
        <v>63</v>
      </c>
      <c r="D154" s="18">
        <v>9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9">
        <v>97</v>
      </c>
    </row>
    <row r="155" spans="1:11" ht="14" x14ac:dyDescent="0.3">
      <c r="A155" s="27"/>
      <c r="B155" s="18">
        <v>0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9">
        <v>0</v>
      </c>
    </row>
    <row r="156" spans="1:11" ht="14" x14ac:dyDescent="0.3">
      <c r="A156" s="27" t="s">
        <v>31</v>
      </c>
      <c r="B156" s="18">
        <v>14</v>
      </c>
      <c r="C156" s="18">
        <v>15</v>
      </c>
      <c r="D156" s="18">
        <v>0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0</v>
      </c>
      <c r="K156" s="19">
        <v>29</v>
      </c>
    </row>
    <row r="157" spans="1:11" ht="14" x14ac:dyDescent="0.3">
      <c r="A157" s="27"/>
      <c r="B157" s="18">
        <v>0</v>
      </c>
      <c r="C157" s="18">
        <v>0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9">
        <v>0</v>
      </c>
    </row>
    <row r="158" spans="1:11" ht="14" x14ac:dyDescent="0.3">
      <c r="A158" s="27" t="s">
        <v>32</v>
      </c>
      <c r="B158" s="18">
        <v>10</v>
      </c>
      <c r="C158" s="18">
        <v>6</v>
      </c>
      <c r="D158" s="18">
        <v>0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9">
        <v>16</v>
      </c>
    </row>
    <row r="159" spans="1:11" ht="14" x14ac:dyDescent="0.3">
      <c r="A159" s="27"/>
      <c r="B159" s="18">
        <v>0</v>
      </c>
      <c r="C159" s="18">
        <v>0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9">
        <v>0</v>
      </c>
    </row>
    <row r="160" spans="1:11" ht="14" x14ac:dyDescent="0.3">
      <c r="A160" s="27" t="s">
        <v>33</v>
      </c>
      <c r="B160" s="18">
        <v>5</v>
      </c>
      <c r="C160" s="18">
        <v>1</v>
      </c>
      <c r="D160" s="18">
        <v>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9">
        <v>6</v>
      </c>
    </row>
    <row r="161" spans="1:11" ht="14" x14ac:dyDescent="0.3">
      <c r="A161" s="27"/>
      <c r="B161" s="18">
        <v>0</v>
      </c>
      <c r="C161" s="18">
        <v>0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9">
        <v>0</v>
      </c>
    </row>
    <row r="162" spans="1:11" ht="14" x14ac:dyDescent="0.3">
      <c r="A162" s="27" t="s">
        <v>34</v>
      </c>
      <c r="B162" s="18">
        <v>3</v>
      </c>
      <c r="C162" s="18">
        <v>9</v>
      </c>
      <c r="D162" s="18">
        <v>0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0</v>
      </c>
      <c r="K162" s="19">
        <v>12</v>
      </c>
    </row>
    <row r="163" spans="1:11" ht="14" x14ac:dyDescent="0.3">
      <c r="A163" s="27"/>
      <c r="B163" s="18">
        <v>0</v>
      </c>
      <c r="C163" s="18">
        <v>0</v>
      </c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0</v>
      </c>
      <c r="K163" s="19">
        <v>0</v>
      </c>
    </row>
    <row r="164" spans="1:11" ht="14" x14ac:dyDescent="0.3">
      <c r="A164" s="27" t="s">
        <v>35</v>
      </c>
      <c r="B164" s="18">
        <v>12</v>
      </c>
      <c r="C164" s="18">
        <v>6</v>
      </c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9">
        <v>18</v>
      </c>
    </row>
    <row r="165" spans="1:11" ht="12.5" x14ac:dyDescent="0.25">
      <c r="A165" s="15"/>
      <c r="B165" s="14">
        <v>0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</row>
    <row r="166" spans="1:11" ht="12.5" x14ac:dyDescent="0.25">
      <c r="A166" s="63" t="s">
        <v>21</v>
      </c>
      <c r="B166" s="63">
        <v>134</v>
      </c>
      <c r="C166" s="63">
        <v>166</v>
      </c>
      <c r="D166" s="63">
        <v>14</v>
      </c>
      <c r="E166" s="63">
        <v>0</v>
      </c>
      <c r="F166" s="63">
        <v>0</v>
      </c>
      <c r="G166" s="63">
        <v>0</v>
      </c>
      <c r="H166" s="63">
        <v>0</v>
      </c>
      <c r="I166" s="63">
        <v>0</v>
      </c>
      <c r="J166" s="63">
        <v>0</v>
      </c>
      <c r="K166" s="63">
        <v>100</v>
      </c>
    </row>
    <row r="167" spans="1:11" ht="12.5" x14ac:dyDescent="0.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</row>
    <row r="168" spans="1:11" ht="12.5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 spans="1:11" ht="12.5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65" t="s">
        <v>0</v>
      </c>
      <c r="B173" s="66"/>
      <c r="C173" s="66"/>
      <c r="D173" s="66"/>
      <c r="E173" s="66"/>
      <c r="F173" s="2"/>
      <c r="G173" s="2"/>
      <c r="H173" s="2"/>
      <c r="I173" s="2"/>
      <c r="J173" s="2"/>
      <c r="K173" s="2"/>
    </row>
    <row r="174" spans="1:11" ht="14" x14ac:dyDescent="0.3">
      <c r="A174" s="65" t="s">
        <v>1</v>
      </c>
      <c r="B174" s="66"/>
      <c r="C174" s="66"/>
      <c r="D174" s="2"/>
      <c r="E174" s="2"/>
      <c r="F174" s="2"/>
      <c r="G174" s="65" t="s">
        <v>71</v>
      </c>
      <c r="H174" s="66"/>
      <c r="I174" s="66"/>
      <c r="J174" s="1"/>
      <c r="K174" s="2"/>
    </row>
    <row r="175" spans="1:11" ht="14" x14ac:dyDescent="0.3">
      <c r="A175" s="65" t="s">
        <v>39</v>
      </c>
      <c r="B175" s="66"/>
      <c r="C175" s="66"/>
      <c r="D175" s="66"/>
      <c r="E175" s="66"/>
      <c r="F175" s="2"/>
      <c r="G175" s="65" t="s">
        <v>4</v>
      </c>
      <c r="H175" s="66"/>
      <c r="I175" s="66"/>
      <c r="J175" s="66"/>
      <c r="K175" s="2"/>
    </row>
    <row r="176" spans="1:11" ht="14" x14ac:dyDescent="0.3">
      <c r="A176" s="65" t="s">
        <v>5</v>
      </c>
      <c r="B176" s="66"/>
      <c r="C176" s="66"/>
      <c r="D176" s="66"/>
      <c r="E176" s="66"/>
      <c r="F176" s="2"/>
      <c r="G176" s="65" t="s">
        <v>6</v>
      </c>
      <c r="H176" s="66"/>
      <c r="I176" s="66"/>
      <c r="J176" s="6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60" t="s">
        <v>7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2"/>
    </row>
    <row r="179" spans="1:11" ht="14" x14ac:dyDescent="0.3">
      <c r="A179" s="67" t="s">
        <v>8</v>
      </c>
      <c r="B179" s="68"/>
      <c r="C179" s="68"/>
      <c r="D179" s="68"/>
      <c r="E179" s="68"/>
      <c r="F179" s="68"/>
      <c r="G179" s="68"/>
      <c r="H179" s="68"/>
      <c r="I179" s="68"/>
      <c r="J179" s="68"/>
      <c r="K179" s="69"/>
    </row>
    <row r="180" spans="1:11" ht="14" x14ac:dyDescent="0.3">
      <c r="A180" s="4" t="s">
        <v>9</v>
      </c>
      <c r="B180" s="5"/>
      <c r="C180" s="5"/>
      <c r="D180" s="5"/>
      <c r="E180" s="70" t="s">
        <v>10</v>
      </c>
      <c r="F180" s="71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4" x14ac:dyDescent="0.3">
      <c r="A182" s="25" t="s">
        <v>22</v>
      </c>
      <c r="B182" s="28">
        <v>0</v>
      </c>
      <c r="C182" s="28">
        <v>0</v>
      </c>
      <c r="D182" s="28">
        <v>0</v>
      </c>
      <c r="E182" s="28">
        <v>0</v>
      </c>
      <c r="F182" s="28">
        <v>0</v>
      </c>
      <c r="G182" s="28">
        <v>0</v>
      </c>
      <c r="H182" s="28">
        <v>0</v>
      </c>
      <c r="I182" s="28">
        <v>0</v>
      </c>
      <c r="J182" s="28">
        <v>0</v>
      </c>
      <c r="K182" s="59">
        <v>113</v>
      </c>
    </row>
    <row r="183" spans="1:11" ht="14" x14ac:dyDescent="0.3">
      <c r="A183" s="27" t="s">
        <v>23</v>
      </c>
      <c r="B183" s="18">
        <v>0</v>
      </c>
      <c r="C183" s="18">
        <v>0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8">
        <v>0</v>
      </c>
      <c r="K183" s="19">
        <v>0</v>
      </c>
    </row>
    <row r="184" spans="1:11" ht="14" x14ac:dyDescent="0.3">
      <c r="A184" s="27"/>
      <c r="B184" s="18">
        <v>0</v>
      </c>
      <c r="C184" s="18">
        <v>0</v>
      </c>
      <c r="D184" s="18">
        <v>0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8">
        <v>0</v>
      </c>
      <c r="K184" s="19">
        <v>0</v>
      </c>
    </row>
    <row r="185" spans="1:11" ht="14" x14ac:dyDescent="0.3">
      <c r="A185" s="27" t="s">
        <v>24</v>
      </c>
      <c r="B185" s="18">
        <v>11</v>
      </c>
      <c r="C185" s="18">
        <v>1</v>
      </c>
      <c r="D185" s="18">
        <v>0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8">
        <v>0</v>
      </c>
      <c r="K185" s="19">
        <v>12</v>
      </c>
    </row>
    <row r="186" spans="1:11" ht="14" x14ac:dyDescent="0.3">
      <c r="A186" s="27"/>
      <c r="B186" s="18">
        <v>0</v>
      </c>
      <c r="C186" s="18">
        <v>0</v>
      </c>
      <c r="D186" s="18">
        <v>0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8">
        <v>0</v>
      </c>
      <c r="K186" s="19">
        <v>0</v>
      </c>
    </row>
    <row r="187" spans="1:11" ht="14" x14ac:dyDescent="0.3">
      <c r="A187" s="27" t="s">
        <v>25</v>
      </c>
      <c r="B187" s="18">
        <v>16</v>
      </c>
      <c r="C187" s="18">
        <v>1</v>
      </c>
      <c r="D187" s="18">
        <v>0</v>
      </c>
      <c r="E187" s="18">
        <v>0</v>
      </c>
      <c r="F187" s="18">
        <v>0</v>
      </c>
      <c r="G187" s="18">
        <v>0</v>
      </c>
      <c r="H187" s="18">
        <v>0</v>
      </c>
      <c r="I187" s="18">
        <v>0</v>
      </c>
      <c r="J187" s="18">
        <v>0</v>
      </c>
      <c r="K187" s="19">
        <v>17</v>
      </c>
    </row>
    <row r="188" spans="1:11" ht="14" x14ac:dyDescent="0.3">
      <c r="A188" s="27"/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8">
        <v>0</v>
      </c>
      <c r="K188" s="19">
        <v>0</v>
      </c>
    </row>
    <row r="189" spans="1:11" ht="14" x14ac:dyDescent="0.3">
      <c r="A189" s="27" t="s">
        <v>26</v>
      </c>
      <c r="B189" s="18">
        <v>27</v>
      </c>
      <c r="C189" s="18">
        <v>8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8">
        <v>0</v>
      </c>
      <c r="K189" s="19">
        <v>35</v>
      </c>
    </row>
    <row r="190" spans="1:11" ht="14" x14ac:dyDescent="0.3">
      <c r="A190" s="27"/>
      <c r="B190" s="18">
        <v>0</v>
      </c>
      <c r="C190" s="18">
        <v>0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8">
        <v>0</v>
      </c>
      <c r="K190" s="19">
        <v>0</v>
      </c>
    </row>
    <row r="191" spans="1:11" ht="14" x14ac:dyDescent="0.3">
      <c r="A191" s="27" t="s">
        <v>27</v>
      </c>
      <c r="B191" s="18">
        <v>38</v>
      </c>
      <c r="C191" s="18">
        <v>6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8">
        <v>0</v>
      </c>
      <c r="K191" s="19">
        <v>44</v>
      </c>
    </row>
    <row r="192" spans="1:11" ht="14" x14ac:dyDescent="0.3">
      <c r="A192" s="27"/>
      <c r="B192" s="18">
        <v>0</v>
      </c>
      <c r="C192" s="18">
        <v>0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8">
        <v>0</v>
      </c>
      <c r="K192" s="19">
        <v>0</v>
      </c>
    </row>
    <row r="193" spans="1:11" ht="14" x14ac:dyDescent="0.3">
      <c r="A193" s="27" t="s">
        <v>28</v>
      </c>
      <c r="B193" s="18">
        <v>52</v>
      </c>
      <c r="C193" s="18">
        <v>9</v>
      </c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0</v>
      </c>
      <c r="J193" s="18">
        <v>0</v>
      </c>
      <c r="K193" s="19">
        <v>61</v>
      </c>
    </row>
    <row r="194" spans="1:11" ht="14" x14ac:dyDescent="0.3">
      <c r="A194" s="27"/>
      <c r="B194" s="18">
        <v>0</v>
      </c>
      <c r="C194" s="18">
        <v>0</v>
      </c>
      <c r="D194" s="18">
        <v>0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18">
        <v>0</v>
      </c>
      <c r="K194" s="19">
        <v>0</v>
      </c>
    </row>
    <row r="195" spans="1:11" ht="14" x14ac:dyDescent="0.3">
      <c r="A195" s="27" t="s">
        <v>29</v>
      </c>
      <c r="B195" s="18">
        <v>87</v>
      </c>
      <c r="C195" s="18">
        <v>44</v>
      </c>
      <c r="D195" s="18">
        <v>7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8">
        <v>0</v>
      </c>
      <c r="K195" s="19">
        <v>138</v>
      </c>
    </row>
    <row r="196" spans="1:11" ht="14" x14ac:dyDescent="0.3">
      <c r="A196" s="27"/>
      <c r="B196" s="18">
        <v>0</v>
      </c>
      <c r="C196" s="18">
        <v>0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8">
        <v>0</v>
      </c>
      <c r="K196" s="19">
        <v>0</v>
      </c>
    </row>
    <row r="197" spans="1:11" ht="14" x14ac:dyDescent="0.3">
      <c r="A197" s="27" t="s">
        <v>30</v>
      </c>
      <c r="B197" s="18">
        <v>71</v>
      </c>
      <c r="C197" s="18">
        <v>57</v>
      </c>
      <c r="D197" s="18">
        <v>4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8">
        <v>0</v>
      </c>
      <c r="K197" s="19">
        <v>132</v>
      </c>
    </row>
    <row r="198" spans="1:11" ht="14" x14ac:dyDescent="0.3">
      <c r="A198" s="27"/>
      <c r="B198" s="18">
        <v>0</v>
      </c>
      <c r="C198" s="18">
        <v>0</v>
      </c>
      <c r="D198" s="18">
        <v>0</v>
      </c>
      <c r="E198" s="18">
        <v>0</v>
      </c>
      <c r="F198" s="18">
        <v>0</v>
      </c>
      <c r="G198" s="18">
        <v>0</v>
      </c>
      <c r="H198" s="18">
        <v>0</v>
      </c>
      <c r="I198" s="18">
        <v>0</v>
      </c>
      <c r="J198" s="18">
        <v>0</v>
      </c>
      <c r="K198" s="19">
        <v>0</v>
      </c>
    </row>
    <row r="199" spans="1:11" ht="14" x14ac:dyDescent="0.3">
      <c r="A199" s="27" t="s">
        <v>31</v>
      </c>
      <c r="B199" s="18">
        <v>34</v>
      </c>
      <c r="C199" s="18">
        <v>14</v>
      </c>
      <c r="D199" s="18">
        <v>2</v>
      </c>
      <c r="E199" s="18">
        <v>1</v>
      </c>
      <c r="F199" s="18">
        <v>0</v>
      </c>
      <c r="G199" s="18">
        <v>0</v>
      </c>
      <c r="H199" s="18">
        <v>0</v>
      </c>
      <c r="I199" s="18">
        <v>0</v>
      </c>
      <c r="J199" s="18">
        <v>0</v>
      </c>
      <c r="K199" s="19">
        <v>51</v>
      </c>
    </row>
    <row r="200" spans="1:11" ht="14" x14ac:dyDescent="0.3">
      <c r="A200" s="27"/>
      <c r="B200" s="18">
        <v>0</v>
      </c>
      <c r="C200" s="18">
        <v>0</v>
      </c>
      <c r="D200" s="18">
        <v>0</v>
      </c>
      <c r="E200" s="18">
        <v>0</v>
      </c>
      <c r="F200" s="18">
        <v>0</v>
      </c>
      <c r="G200" s="18">
        <v>0</v>
      </c>
      <c r="H200" s="18">
        <v>0</v>
      </c>
      <c r="I200" s="18">
        <v>0</v>
      </c>
      <c r="J200" s="18">
        <v>0</v>
      </c>
      <c r="K200" s="19">
        <v>0</v>
      </c>
    </row>
    <row r="201" spans="1:11" ht="14" x14ac:dyDescent="0.3">
      <c r="A201" s="27" t="s">
        <v>32</v>
      </c>
      <c r="B201" s="18">
        <v>40</v>
      </c>
      <c r="C201" s="18">
        <v>14</v>
      </c>
      <c r="D201" s="18">
        <v>3</v>
      </c>
      <c r="E201" s="18">
        <v>1</v>
      </c>
      <c r="F201" s="18">
        <v>0</v>
      </c>
      <c r="G201" s="18">
        <v>0</v>
      </c>
      <c r="H201" s="18">
        <v>0</v>
      </c>
      <c r="I201" s="18">
        <v>0</v>
      </c>
      <c r="J201" s="18">
        <v>0</v>
      </c>
      <c r="K201" s="19">
        <v>58</v>
      </c>
    </row>
    <row r="202" spans="1:11" ht="14" x14ac:dyDescent="0.3">
      <c r="A202" s="27"/>
      <c r="B202" s="18">
        <v>0</v>
      </c>
      <c r="C202" s="18">
        <v>0</v>
      </c>
      <c r="D202" s="18">
        <v>0</v>
      </c>
      <c r="E202" s="18">
        <v>0</v>
      </c>
      <c r="F202" s="18">
        <v>0</v>
      </c>
      <c r="G202" s="18">
        <v>0</v>
      </c>
      <c r="H202" s="18">
        <v>0</v>
      </c>
      <c r="I202" s="18">
        <v>0</v>
      </c>
      <c r="J202" s="18">
        <v>0</v>
      </c>
      <c r="K202" s="19">
        <v>0</v>
      </c>
    </row>
    <row r="203" spans="1:11" ht="15.75" customHeight="1" x14ac:dyDescent="0.3">
      <c r="A203" s="27" t="s">
        <v>33</v>
      </c>
      <c r="B203" s="18">
        <v>18</v>
      </c>
      <c r="C203" s="18">
        <v>2</v>
      </c>
      <c r="D203" s="18">
        <v>2</v>
      </c>
      <c r="E203" s="18">
        <v>0</v>
      </c>
      <c r="F203" s="18">
        <v>0</v>
      </c>
      <c r="G203" s="18">
        <v>0</v>
      </c>
      <c r="H203" s="18">
        <v>0</v>
      </c>
      <c r="I203" s="18">
        <v>0</v>
      </c>
      <c r="J203" s="18">
        <v>0</v>
      </c>
      <c r="K203" s="19">
        <v>22</v>
      </c>
    </row>
    <row r="204" spans="1:11" ht="15.75" customHeight="1" x14ac:dyDescent="0.3">
      <c r="A204" s="27"/>
      <c r="B204" s="18">
        <v>0</v>
      </c>
      <c r="C204" s="18">
        <v>0</v>
      </c>
      <c r="D204" s="18">
        <v>0</v>
      </c>
      <c r="E204" s="18">
        <v>0</v>
      </c>
      <c r="F204" s="18">
        <v>0</v>
      </c>
      <c r="G204" s="18">
        <v>0</v>
      </c>
      <c r="H204" s="18">
        <v>0</v>
      </c>
      <c r="I204" s="18">
        <v>0</v>
      </c>
      <c r="J204" s="18">
        <v>0</v>
      </c>
      <c r="K204" s="19">
        <v>0</v>
      </c>
    </row>
    <row r="205" spans="1:11" ht="15.75" customHeight="1" x14ac:dyDescent="0.3">
      <c r="A205" s="27" t="s">
        <v>34</v>
      </c>
      <c r="B205" s="18">
        <v>23</v>
      </c>
      <c r="C205" s="18">
        <v>6</v>
      </c>
      <c r="D205" s="18">
        <v>1</v>
      </c>
      <c r="E205" s="18">
        <v>1</v>
      </c>
      <c r="F205" s="18">
        <v>0</v>
      </c>
      <c r="G205" s="18">
        <v>0</v>
      </c>
      <c r="H205" s="18">
        <v>0</v>
      </c>
      <c r="I205" s="18">
        <v>0</v>
      </c>
      <c r="J205" s="18">
        <v>0</v>
      </c>
      <c r="K205" s="19">
        <v>31</v>
      </c>
    </row>
    <row r="206" spans="1:11" ht="15.75" customHeight="1" x14ac:dyDescent="0.3">
      <c r="A206" s="27"/>
      <c r="B206" s="18">
        <v>0</v>
      </c>
      <c r="C206" s="18">
        <v>0</v>
      </c>
      <c r="D206" s="18">
        <v>0</v>
      </c>
      <c r="E206" s="18">
        <v>0</v>
      </c>
      <c r="F206" s="18">
        <v>0</v>
      </c>
      <c r="G206" s="18">
        <v>0</v>
      </c>
      <c r="H206" s="18">
        <v>0</v>
      </c>
      <c r="I206" s="18">
        <v>0</v>
      </c>
      <c r="J206" s="18">
        <v>0</v>
      </c>
      <c r="K206" s="19">
        <v>0</v>
      </c>
    </row>
    <row r="207" spans="1:11" ht="15.75" customHeight="1" x14ac:dyDescent="0.3">
      <c r="A207" s="27" t="s">
        <v>35</v>
      </c>
      <c r="B207" s="18">
        <v>29</v>
      </c>
      <c r="C207" s="18">
        <v>16</v>
      </c>
      <c r="D207" s="18">
        <v>1</v>
      </c>
      <c r="E207" s="18">
        <v>0</v>
      </c>
      <c r="F207" s="18">
        <v>0</v>
      </c>
      <c r="G207" s="18">
        <v>0</v>
      </c>
      <c r="H207" s="18">
        <v>0</v>
      </c>
      <c r="I207" s="18">
        <v>0</v>
      </c>
      <c r="J207" s="18">
        <v>0</v>
      </c>
      <c r="K207" s="19">
        <v>46</v>
      </c>
    </row>
    <row r="208" spans="1:11" ht="15.75" customHeight="1" x14ac:dyDescent="0.3">
      <c r="A208" s="29"/>
      <c r="B208" s="19">
        <v>0</v>
      </c>
      <c r="C208" s="19">
        <v>0</v>
      </c>
      <c r="D208" s="19">
        <v>0</v>
      </c>
      <c r="E208" s="19">
        <v>0</v>
      </c>
      <c r="F208" s="19">
        <v>0</v>
      </c>
      <c r="G208" s="19">
        <v>0</v>
      </c>
      <c r="H208" s="19">
        <v>0</v>
      </c>
      <c r="I208" s="19">
        <v>0</v>
      </c>
      <c r="J208" s="19">
        <v>0</v>
      </c>
      <c r="K208" s="19">
        <v>0</v>
      </c>
    </row>
    <row r="209" spans="1:11" ht="15.75" customHeight="1" x14ac:dyDescent="0.25">
      <c r="A209" s="63" t="s">
        <v>21</v>
      </c>
      <c r="B209" s="63">
        <v>446</v>
      </c>
      <c r="C209" s="63">
        <v>178</v>
      </c>
      <c r="D209" s="63">
        <v>20</v>
      </c>
      <c r="E209" s="63">
        <v>3</v>
      </c>
      <c r="F209" s="63">
        <v>0</v>
      </c>
      <c r="G209" s="63">
        <v>0</v>
      </c>
      <c r="H209" s="63">
        <v>0</v>
      </c>
      <c r="I209" s="63">
        <v>0</v>
      </c>
      <c r="J209" s="63">
        <v>0</v>
      </c>
      <c r="K209" s="63">
        <v>760</v>
      </c>
    </row>
    <row r="210" spans="1:11" ht="15.75" customHeight="1" x14ac:dyDescent="0.2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</row>
    <row r="211" spans="1:11" ht="15.75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</row>
    <row r="212" spans="1:11" ht="15.75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65" t="s">
        <v>0</v>
      </c>
      <c r="B216" s="66"/>
      <c r="C216" s="66"/>
      <c r="D216" s="66"/>
      <c r="E216" s="66"/>
      <c r="F216" s="2"/>
      <c r="G216" s="2"/>
      <c r="H216" s="2"/>
      <c r="I216" s="2"/>
      <c r="J216" s="2"/>
      <c r="K216" s="2"/>
    </row>
    <row r="217" spans="1:11" ht="15.75" customHeight="1" x14ac:dyDescent="0.3">
      <c r="A217" s="65" t="s">
        <v>1</v>
      </c>
      <c r="B217" s="66"/>
      <c r="C217" s="66"/>
      <c r="D217" s="2"/>
      <c r="E217" s="2"/>
      <c r="F217" s="2"/>
      <c r="G217" s="65" t="s">
        <v>120</v>
      </c>
      <c r="H217" s="66"/>
      <c r="I217" s="66"/>
      <c r="J217" s="1"/>
      <c r="K217" s="2"/>
    </row>
    <row r="218" spans="1:11" ht="15.75" customHeight="1" x14ac:dyDescent="0.3">
      <c r="A218" s="65" t="s">
        <v>39</v>
      </c>
      <c r="B218" s="66"/>
      <c r="C218" s="66"/>
      <c r="D218" s="66"/>
      <c r="E218" s="66"/>
      <c r="F218" s="2"/>
      <c r="G218" s="65" t="s">
        <v>4</v>
      </c>
      <c r="H218" s="66"/>
      <c r="I218" s="66"/>
      <c r="J218" s="66"/>
      <c r="K218" s="2"/>
    </row>
    <row r="219" spans="1:11" ht="15.75" customHeight="1" x14ac:dyDescent="0.3">
      <c r="A219" s="65" t="s">
        <v>5</v>
      </c>
      <c r="B219" s="66"/>
      <c r="C219" s="66"/>
      <c r="D219" s="66"/>
      <c r="E219" s="66"/>
      <c r="F219" s="2"/>
      <c r="G219" s="65" t="s">
        <v>6</v>
      </c>
      <c r="H219" s="66"/>
      <c r="I219" s="66"/>
      <c r="J219" s="6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60" t="s">
        <v>7</v>
      </c>
      <c r="B221" s="61"/>
      <c r="C221" s="61"/>
      <c r="D221" s="61"/>
      <c r="E221" s="61"/>
      <c r="F221" s="61"/>
      <c r="G221" s="61"/>
      <c r="H221" s="61"/>
      <c r="I221" s="61"/>
      <c r="J221" s="61"/>
      <c r="K221" s="62"/>
    </row>
    <row r="222" spans="1:11" ht="15.75" customHeight="1" x14ac:dyDescent="0.3">
      <c r="A222" s="67" t="s">
        <v>8</v>
      </c>
      <c r="B222" s="68"/>
      <c r="C222" s="68"/>
      <c r="D222" s="68"/>
      <c r="E222" s="68"/>
      <c r="F222" s="68"/>
      <c r="G222" s="68"/>
      <c r="H222" s="68"/>
      <c r="I222" s="68"/>
      <c r="J222" s="68"/>
      <c r="K222" s="69"/>
    </row>
    <row r="223" spans="1:11" ht="15.75" customHeight="1" x14ac:dyDescent="0.3">
      <c r="A223" s="4" t="s">
        <v>9</v>
      </c>
      <c r="B223" s="5"/>
      <c r="C223" s="5"/>
      <c r="D223" s="5"/>
      <c r="E223" s="70" t="s">
        <v>10</v>
      </c>
      <c r="F223" s="71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3">
      <c r="A225" s="25" t="s">
        <v>22</v>
      </c>
      <c r="B225" s="28"/>
      <c r="C225" s="28"/>
      <c r="D225" s="28"/>
      <c r="E225" s="28"/>
      <c r="F225" s="28"/>
      <c r="G225" s="28"/>
      <c r="H225" s="28"/>
      <c r="I225" s="28"/>
      <c r="J225" s="28"/>
      <c r="K225" s="59">
        <f>(K10+K53+K96+K139+K182)/5</f>
        <v>-170.4</v>
      </c>
    </row>
    <row r="226" spans="1:11" ht="15.75" customHeight="1" x14ac:dyDescent="0.3">
      <c r="A226" s="27" t="s">
        <v>23</v>
      </c>
      <c r="B226" s="18"/>
      <c r="C226" s="18"/>
      <c r="D226" s="18"/>
      <c r="E226" s="18"/>
      <c r="F226" s="18"/>
      <c r="G226" s="18"/>
      <c r="H226" s="18"/>
      <c r="I226" s="18"/>
      <c r="J226" s="18"/>
      <c r="K226" s="59">
        <f t="shared" ref="K226:K251" si="0">(K11+K54+K97+K140+K183)/5</f>
        <v>0</v>
      </c>
    </row>
    <row r="227" spans="1:11" ht="15.75" customHeight="1" x14ac:dyDescent="0.3">
      <c r="A227" s="27"/>
      <c r="B227" s="18"/>
      <c r="C227" s="18"/>
      <c r="D227" s="18"/>
      <c r="E227" s="18"/>
      <c r="F227" s="18"/>
      <c r="G227" s="18"/>
      <c r="H227" s="18"/>
      <c r="I227" s="18"/>
      <c r="J227" s="18"/>
      <c r="K227" s="59">
        <f t="shared" si="0"/>
        <v>0</v>
      </c>
    </row>
    <row r="228" spans="1:11" ht="15.75" customHeight="1" x14ac:dyDescent="0.3">
      <c r="A228" s="27" t="s">
        <v>24</v>
      </c>
      <c r="B228" s="18">
        <f>(B13+B56+B99+B142+B185)/5</f>
        <v>5.6</v>
      </c>
      <c r="C228" s="18">
        <f t="shared" ref="C228:J228" si="1">(C13+C56+C99+C142+C185)/5</f>
        <v>5.8</v>
      </c>
      <c r="D228" s="18">
        <f t="shared" si="1"/>
        <v>0.2</v>
      </c>
      <c r="E228" s="18">
        <f t="shared" si="1"/>
        <v>0</v>
      </c>
      <c r="F228" s="18">
        <f t="shared" si="1"/>
        <v>0</v>
      </c>
      <c r="G228" s="18">
        <f t="shared" si="1"/>
        <v>0</v>
      </c>
      <c r="H228" s="18">
        <f t="shared" si="1"/>
        <v>0</v>
      </c>
      <c r="I228" s="18">
        <f t="shared" si="1"/>
        <v>0</v>
      </c>
      <c r="J228" s="18">
        <f t="shared" si="1"/>
        <v>0</v>
      </c>
      <c r="K228" s="59">
        <f t="shared" si="0"/>
        <v>11.6</v>
      </c>
    </row>
    <row r="229" spans="1:11" ht="15.75" customHeight="1" x14ac:dyDescent="0.3">
      <c r="A229" s="27"/>
      <c r="B229" s="18">
        <f t="shared" ref="B229:J250" si="2">(B14+B57+B100+B143+B186)/5</f>
        <v>0</v>
      </c>
      <c r="C229" s="18">
        <f t="shared" si="2"/>
        <v>0</v>
      </c>
      <c r="D229" s="18">
        <f t="shared" si="2"/>
        <v>0</v>
      </c>
      <c r="E229" s="18">
        <f t="shared" si="2"/>
        <v>0</v>
      </c>
      <c r="F229" s="18">
        <f t="shared" si="2"/>
        <v>0</v>
      </c>
      <c r="G229" s="18">
        <f t="shared" si="2"/>
        <v>0</v>
      </c>
      <c r="H229" s="18">
        <f t="shared" si="2"/>
        <v>0</v>
      </c>
      <c r="I229" s="18">
        <f t="shared" si="2"/>
        <v>0</v>
      </c>
      <c r="J229" s="18">
        <f t="shared" si="2"/>
        <v>0</v>
      </c>
      <c r="K229" s="59">
        <f t="shared" si="0"/>
        <v>0</v>
      </c>
    </row>
    <row r="230" spans="1:11" ht="15.75" customHeight="1" x14ac:dyDescent="0.3">
      <c r="A230" s="27" t="s">
        <v>25</v>
      </c>
      <c r="B230" s="18">
        <f t="shared" si="2"/>
        <v>4.8</v>
      </c>
      <c r="C230" s="18">
        <f t="shared" si="2"/>
        <v>2.6</v>
      </c>
      <c r="D230" s="18">
        <f t="shared" si="2"/>
        <v>0</v>
      </c>
      <c r="E230" s="18">
        <f t="shared" si="2"/>
        <v>0</v>
      </c>
      <c r="F230" s="18">
        <f t="shared" si="2"/>
        <v>0</v>
      </c>
      <c r="G230" s="18">
        <f t="shared" si="2"/>
        <v>0</v>
      </c>
      <c r="H230" s="18">
        <f t="shared" si="2"/>
        <v>0</v>
      </c>
      <c r="I230" s="18">
        <f t="shared" si="2"/>
        <v>0</v>
      </c>
      <c r="J230" s="18">
        <f t="shared" si="2"/>
        <v>0</v>
      </c>
      <c r="K230" s="59">
        <f t="shared" si="0"/>
        <v>7.4</v>
      </c>
    </row>
    <row r="231" spans="1:11" ht="15.75" customHeight="1" x14ac:dyDescent="0.3">
      <c r="A231" s="27"/>
      <c r="B231" s="18">
        <f t="shared" si="2"/>
        <v>0</v>
      </c>
      <c r="C231" s="18">
        <f t="shared" si="2"/>
        <v>0</v>
      </c>
      <c r="D231" s="18">
        <f t="shared" si="2"/>
        <v>0</v>
      </c>
      <c r="E231" s="18">
        <f t="shared" si="2"/>
        <v>0</v>
      </c>
      <c r="F231" s="18">
        <f t="shared" si="2"/>
        <v>0</v>
      </c>
      <c r="G231" s="18">
        <f t="shared" si="2"/>
        <v>0</v>
      </c>
      <c r="H231" s="18">
        <f t="shared" si="2"/>
        <v>0</v>
      </c>
      <c r="I231" s="18">
        <f t="shared" si="2"/>
        <v>0</v>
      </c>
      <c r="J231" s="18">
        <f t="shared" si="2"/>
        <v>0</v>
      </c>
      <c r="K231" s="59">
        <f t="shared" si="0"/>
        <v>0</v>
      </c>
    </row>
    <row r="232" spans="1:11" ht="15.75" customHeight="1" x14ac:dyDescent="0.3">
      <c r="A232" s="27" t="s">
        <v>26</v>
      </c>
      <c r="B232" s="18">
        <f t="shared" si="2"/>
        <v>12.4</v>
      </c>
      <c r="C232" s="18">
        <f t="shared" si="2"/>
        <v>3.6</v>
      </c>
      <c r="D232" s="18">
        <f t="shared" si="2"/>
        <v>0.8</v>
      </c>
      <c r="E232" s="18">
        <f t="shared" si="2"/>
        <v>0</v>
      </c>
      <c r="F232" s="18">
        <f t="shared" si="2"/>
        <v>0</v>
      </c>
      <c r="G232" s="18">
        <f t="shared" si="2"/>
        <v>0</v>
      </c>
      <c r="H232" s="18">
        <f t="shared" si="2"/>
        <v>0</v>
      </c>
      <c r="I232" s="18">
        <f t="shared" si="2"/>
        <v>0</v>
      </c>
      <c r="J232" s="18">
        <f t="shared" si="2"/>
        <v>0</v>
      </c>
      <c r="K232" s="59">
        <f t="shared" si="0"/>
        <v>16.8</v>
      </c>
    </row>
    <row r="233" spans="1:11" ht="15.75" customHeight="1" x14ac:dyDescent="0.3">
      <c r="A233" s="27"/>
      <c r="B233" s="18">
        <f t="shared" si="2"/>
        <v>0</v>
      </c>
      <c r="C233" s="18">
        <f t="shared" si="2"/>
        <v>0</v>
      </c>
      <c r="D233" s="18">
        <f t="shared" si="2"/>
        <v>0</v>
      </c>
      <c r="E233" s="18">
        <f t="shared" si="2"/>
        <v>0</v>
      </c>
      <c r="F233" s="18">
        <f t="shared" si="2"/>
        <v>0</v>
      </c>
      <c r="G233" s="18">
        <f t="shared" si="2"/>
        <v>0</v>
      </c>
      <c r="H233" s="18">
        <f t="shared" si="2"/>
        <v>0</v>
      </c>
      <c r="I233" s="18">
        <f t="shared" si="2"/>
        <v>0</v>
      </c>
      <c r="J233" s="18">
        <f t="shared" si="2"/>
        <v>0</v>
      </c>
      <c r="K233" s="59">
        <f t="shared" si="0"/>
        <v>0</v>
      </c>
    </row>
    <row r="234" spans="1:11" ht="15.75" customHeight="1" x14ac:dyDescent="0.3">
      <c r="A234" s="27" t="s">
        <v>27</v>
      </c>
      <c r="B234" s="18">
        <f t="shared" si="2"/>
        <v>12.2</v>
      </c>
      <c r="C234" s="18">
        <f t="shared" si="2"/>
        <v>3</v>
      </c>
      <c r="D234" s="18">
        <f t="shared" si="2"/>
        <v>0</v>
      </c>
      <c r="E234" s="18">
        <f t="shared" si="2"/>
        <v>0</v>
      </c>
      <c r="F234" s="18">
        <f t="shared" si="2"/>
        <v>0</v>
      </c>
      <c r="G234" s="18">
        <f t="shared" si="2"/>
        <v>0</v>
      </c>
      <c r="H234" s="18">
        <f t="shared" si="2"/>
        <v>0</v>
      </c>
      <c r="I234" s="18">
        <f t="shared" si="2"/>
        <v>0</v>
      </c>
      <c r="J234" s="18">
        <f t="shared" si="2"/>
        <v>0</v>
      </c>
      <c r="K234" s="59">
        <f t="shared" si="0"/>
        <v>15.2</v>
      </c>
    </row>
    <row r="235" spans="1:11" ht="15.75" customHeight="1" x14ac:dyDescent="0.3">
      <c r="A235" s="27"/>
      <c r="B235" s="18">
        <f t="shared" si="2"/>
        <v>0</v>
      </c>
      <c r="C235" s="18">
        <f t="shared" si="2"/>
        <v>0</v>
      </c>
      <c r="D235" s="18">
        <f t="shared" si="2"/>
        <v>0</v>
      </c>
      <c r="E235" s="18">
        <f t="shared" si="2"/>
        <v>0</v>
      </c>
      <c r="F235" s="18">
        <f t="shared" si="2"/>
        <v>0</v>
      </c>
      <c r="G235" s="18">
        <f t="shared" si="2"/>
        <v>0</v>
      </c>
      <c r="H235" s="18">
        <f t="shared" si="2"/>
        <v>0</v>
      </c>
      <c r="I235" s="18">
        <f t="shared" si="2"/>
        <v>0</v>
      </c>
      <c r="J235" s="18">
        <f t="shared" si="2"/>
        <v>0</v>
      </c>
      <c r="K235" s="59">
        <f t="shared" si="0"/>
        <v>0</v>
      </c>
    </row>
    <row r="236" spans="1:11" ht="15.75" customHeight="1" x14ac:dyDescent="0.3">
      <c r="A236" s="27" t="s">
        <v>28</v>
      </c>
      <c r="B236" s="18">
        <f t="shared" si="2"/>
        <v>24.2</v>
      </c>
      <c r="C236" s="18">
        <f t="shared" si="2"/>
        <v>10.8</v>
      </c>
      <c r="D236" s="18">
        <f t="shared" si="2"/>
        <v>1</v>
      </c>
      <c r="E236" s="18">
        <f t="shared" si="2"/>
        <v>0</v>
      </c>
      <c r="F236" s="18">
        <f t="shared" si="2"/>
        <v>0</v>
      </c>
      <c r="G236" s="18">
        <f t="shared" si="2"/>
        <v>0</v>
      </c>
      <c r="H236" s="18">
        <f t="shared" si="2"/>
        <v>0</v>
      </c>
      <c r="I236" s="18">
        <f t="shared" si="2"/>
        <v>0</v>
      </c>
      <c r="J236" s="18">
        <f t="shared" si="2"/>
        <v>0</v>
      </c>
      <c r="K236" s="59">
        <f t="shared" si="0"/>
        <v>36</v>
      </c>
    </row>
    <row r="237" spans="1:11" ht="15.75" customHeight="1" x14ac:dyDescent="0.3">
      <c r="A237" s="27"/>
      <c r="B237" s="18">
        <f t="shared" si="2"/>
        <v>0</v>
      </c>
      <c r="C237" s="18">
        <f t="shared" si="2"/>
        <v>0</v>
      </c>
      <c r="D237" s="18">
        <f t="shared" si="2"/>
        <v>0</v>
      </c>
      <c r="E237" s="18">
        <f t="shared" si="2"/>
        <v>0</v>
      </c>
      <c r="F237" s="18">
        <f t="shared" si="2"/>
        <v>0</v>
      </c>
      <c r="G237" s="18">
        <f t="shared" si="2"/>
        <v>0</v>
      </c>
      <c r="H237" s="18">
        <f t="shared" si="2"/>
        <v>0</v>
      </c>
      <c r="I237" s="18">
        <f t="shared" si="2"/>
        <v>0</v>
      </c>
      <c r="J237" s="18">
        <f t="shared" si="2"/>
        <v>0</v>
      </c>
      <c r="K237" s="59">
        <f t="shared" si="0"/>
        <v>0</v>
      </c>
    </row>
    <row r="238" spans="1:11" ht="15.75" customHeight="1" x14ac:dyDescent="0.3">
      <c r="A238" s="27" t="s">
        <v>29</v>
      </c>
      <c r="B238" s="18">
        <f t="shared" si="2"/>
        <v>42</v>
      </c>
      <c r="C238" s="18">
        <f t="shared" si="2"/>
        <v>51</v>
      </c>
      <c r="D238" s="18">
        <f t="shared" si="2"/>
        <v>4.5999999999999996</v>
      </c>
      <c r="E238" s="18">
        <f t="shared" si="2"/>
        <v>0</v>
      </c>
      <c r="F238" s="18">
        <f t="shared" si="2"/>
        <v>0</v>
      </c>
      <c r="G238" s="18">
        <f t="shared" si="2"/>
        <v>0</v>
      </c>
      <c r="H238" s="18">
        <f t="shared" si="2"/>
        <v>0</v>
      </c>
      <c r="I238" s="18">
        <f t="shared" si="2"/>
        <v>0</v>
      </c>
      <c r="J238" s="18">
        <f t="shared" si="2"/>
        <v>0</v>
      </c>
      <c r="K238" s="59">
        <f t="shared" si="0"/>
        <v>97.6</v>
      </c>
    </row>
    <row r="239" spans="1:11" ht="15.75" customHeight="1" x14ac:dyDescent="0.3">
      <c r="A239" s="27"/>
      <c r="B239" s="18">
        <f t="shared" si="2"/>
        <v>0</v>
      </c>
      <c r="C239" s="18">
        <f t="shared" si="2"/>
        <v>0</v>
      </c>
      <c r="D239" s="18">
        <f t="shared" si="2"/>
        <v>0</v>
      </c>
      <c r="E239" s="18">
        <f t="shared" si="2"/>
        <v>0</v>
      </c>
      <c r="F239" s="18">
        <f t="shared" si="2"/>
        <v>0</v>
      </c>
      <c r="G239" s="18">
        <f t="shared" si="2"/>
        <v>0</v>
      </c>
      <c r="H239" s="18">
        <f t="shared" si="2"/>
        <v>0</v>
      </c>
      <c r="I239" s="18">
        <f t="shared" si="2"/>
        <v>0</v>
      </c>
      <c r="J239" s="18">
        <f t="shared" si="2"/>
        <v>0</v>
      </c>
      <c r="K239" s="59">
        <f t="shared" si="0"/>
        <v>0</v>
      </c>
    </row>
    <row r="240" spans="1:11" ht="15.75" customHeight="1" x14ac:dyDescent="0.3">
      <c r="A240" s="27" t="s">
        <v>30</v>
      </c>
      <c r="B240" s="18">
        <f t="shared" si="2"/>
        <v>37.4</v>
      </c>
      <c r="C240" s="18">
        <f t="shared" si="2"/>
        <v>62.4</v>
      </c>
      <c r="D240" s="18">
        <f t="shared" si="2"/>
        <v>8.4</v>
      </c>
      <c r="E240" s="18">
        <f t="shared" si="2"/>
        <v>0.2</v>
      </c>
      <c r="F240" s="18">
        <f t="shared" si="2"/>
        <v>0</v>
      </c>
      <c r="G240" s="18">
        <f t="shared" si="2"/>
        <v>0</v>
      </c>
      <c r="H240" s="18">
        <f t="shared" si="2"/>
        <v>0</v>
      </c>
      <c r="I240" s="18">
        <f t="shared" si="2"/>
        <v>0</v>
      </c>
      <c r="J240" s="18">
        <f t="shared" si="2"/>
        <v>0</v>
      </c>
      <c r="K240" s="59">
        <f t="shared" si="0"/>
        <v>108.4</v>
      </c>
    </row>
    <row r="241" spans="1:11" ht="15.75" customHeight="1" x14ac:dyDescent="0.3">
      <c r="A241" s="27"/>
      <c r="B241" s="18">
        <f t="shared" si="2"/>
        <v>0</v>
      </c>
      <c r="C241" s="18">
        <f t="shared" si="2"/>
        <v>0</v>
      </c>
      <c r="D241" s="18">
        <f t="shared" si="2"/>
        <v>0</v>
      </c>
      <c r="E241" s="18">
        <f t="shared" si="2"/>
        <v>0</v>
      </c>
      <c r="F241" s="18">
        <f t="shared" si="2"/>
        <v>0</v>
      </c>
      <c r="G241" s="18">
        <f t="shared" si="2"/>
        <v>0</v>
      </c>
      <c r="H241" s="18">
        <f t="shared" si="2"/>
        <v>0</v>
      </c>
      <c r="I241" s="18">
        <f t="shared" si="2"/>
        <v>0</v>
      </c>
      <c r="J241" s="18">
        <f t="shared" si="2"/>
        <v>0</v>
      </c>
      <c r="K241" s="59">
        <f t="shared" si="0"/>
        <v>0</v>
      </c>
    </row>
    <row r="242" spans="1:11" ht="15.75" customHeight="1" x14ac:dyDescent="0.3">
      <c r="A242" s="27" t="s">
        <v>31</v>
      </c>
      <c r="B242" s="18">
        <f t="shared" si="2"/>
        <v>22.2</v>
      </c>
      <c r="C242" s="18">
        <f t="shared" si="2"/>
        <v>15.4</v>
      </c>
      <c r="D242" s="18">
        <f t="shared" si="2"/>
        <v>1.2</v>
      </c>
      <c r="E242" s="18">
        <f t="shared" si="2"/>
        <v>0.2</v>
      </c>
      <c r="F242" s="18">
        <f t="shared" si="2"/>
        <v>0</v>
      </c>
      <c r="G242" s="18">
        <f t="shared" si="2"/>
        <v>0</v>
      </c>
      <c r="H242" s="18">
        <f t="shared" si="2"/>
        <v>0</v>
      </c>
      <c r="I242" s="18">
        <f t="shared" si="2"/>
        <v>0</v>
      </c>
      <c r="J242" s="18">
        <f t="shared" si="2"/>
        <v>0</v>
      </c>
      <c r="K242" s="59">
        <f t="shared" si="0"/>
        <v>39</v>
      </c>
    </row>
    <row r="243" spans="1:11" ht="15.75" customHeight="1" x14ac:dyDescent="0.3">
      <c r="A243" s="27"/>
      <c r="B243" s="18">
        <f t="shared" si="2"/>
        <v>0</v>
      </c>
      <c r="C243" s="18">
        <f t="shared" si="2"/>
        <v>0</v>
      </c>
      <c r="D243" s="18">
        <f t="shared" si="2"/>
        <v>0</v>
      </c>
      <c r="E243" s="18">
        <f t="shared" si="2"/>
        <v>0</v>
      </c>
      <c r="F243" s="18">
        <f t="shared" si="2"/>
        <v>0</v>
      </c>
      <c r="G243" s="18">
        <f t="shared" si="2"/>
        <v>0</v>
      </c>
      <c r="H243" s="18">
        <f t="shared" si="2"/>
        <v>0</v>
      </c>
      <c r="I243" s="18">
        <f t="shared" si="2"/>
        <v>0</v>
      </c>
      <c r="J243" s="18">
        <f t="shared" si="2"/>
        <v>0</v>
      </c>
      <c r="K243" s="59">
        <f t="shared" si="0"/>
        <v>0</v>
      </c>
    </row>
    <row r="244" spans="1:11" ht="15.75" customHeight="1" x14ac:dyDescent="0.3">
      <c r="A244" s="27" t="s">
        <v>32</v>
      </c>
      <c r="B244" s="18">
        <f t="shared" si="2"/>
        <v>14.8</v>
      </c>
      <c r="C244" s="18">
        <f t="shared" si="2"/>
        <v>6.6</v>
      </c>
      <c r="D244" s="18">
        <f t="shared" si="2"/>
        <v>0.6</v>
      </c>
      <c r="E244" s="18">
        <f t="shared" si="2"/>
        <v>0.2</v>
      </c>
      <c r="F244" s="18">
        <f t="shared" si="2"/>
        <v>0</v>
      </c>
      <c r="G244" s="18">
        <f t="shared" si="2"/>
        <v>0.2</v>
      </c>
      <c r="H244" s="18">
        <f t="shared" si="2"/>
        <v>0</v>
      </c>
      <c r="I244" s="18">
        <f t="shared" si="2"/>
        <v>0</v>
      </c>
      <c r="J244" s="18">
        <f t="shared" si="2"/>
        <v>0</v>
      </c>
      <c r="K244" s="59">
        <f t="shared" si="0"/>
        <v>22.4</v>
      </c>
    </row>
    <row r="245" spans="1:11" ht="15.75" customHeight="1" x14ac:dyDescent="0.3">
      <c r="A245" s="27"/>
      <c r="B245" s="18">
        <f t="shared" si="2"/>
        <v>0</v>
      </c>
      <c r="C245" s="18">
        <f t="shared" si="2"/>
        <v>0</v>
      </c>
      <c r="D245" s="18">
        <f t="shared" si="2"/>
        <v>0</v>
      </c>
      <c r="E245" s="18">
        <f t="shared" si="2"/>
        <v>0</v>
      </c>
      <c r="F245" s="18">
        <f t="shared" si="2"/>
        <v>0</v>
      </c>
      <c r="G245" s="18">
        <f t="shared" si="2"/>
        <v>0</v>
      </c>
      <c r="H245" s="18">
        <f t="shared" si="2"/>
        <v>0</v>
      </c>
      <c r="I245" s="18">
        <f t="shared" si="2"/>
        <v>0</v>
      </c>
      <c r="J245" s="18">
        <f t="shared" si="2"/>
        <v>0</v>
      </c>
      <c r="K245" s="59">
        <f t="shared" si="0"/>
        <v>0</v>
      </c>
    </row>
    <row r="246" spans="1:11" ht="15.75" customHeight="1" x14ac:dyDescent="0.3">
      <c r="A246" s="27" t="s">
        <v>33</v>
      </c>
      <c r="B246" s="18">
        <f t="shared" si="2"/>
        <v>7.6</v>
      </c>
      <c r="C246" s="18">
        <f t="shared" si="2"/>
        <v>2</v>
      </c>
      <c r="D246" s="18">
        <f t="shared" si="2"/>
        <v>0.6</v>
      </c>
      <c r="E246" s="18">
        <f t="shared" si="2"/>
        <v>0</v>
      </c>
      <c r="F246" s="18">
        <f t="shared" si="2"/>
        <v>0</v>
      </c>
      <c r="G246" s="18">
        <f t="shared" si="2"/>
        <v>0</v>
      </c>
      <c r="H246" s="18">
        <f t="shared" si="2"/>
        <v>0</v>
      </c>
      <c r="I246" s="18">
        <f t="shared" si="2"/>
        <v>0</v>
      </c>
      <c r="J246" s="18">
        <f t="shared" si="2"/>
        <v>0</v>
      </c>
      <c r="K246" s="59">
        <f t="shared" si="0"/>
        <v>10.199999999999999</v>
      </c>
    </row>
    <row r="247" spans="1:11" ht="15.75" customHeight="1" x14ac:dyDescent="0.3">
      <c r="A247" s="27"/>
      <c r="B247" s="18">
        <f t="shared" si="2"/>
        <v>0</v>
      </c>
      <c r="C247" s="18">
        <f t="shared" si="2"/>
        <v>0</v>
      </c>
      <c r="D247" s="18">
        <f t="shared" si="2"/>
        <v>0</v>
      </c>
      <c r="E247" s="18">
        <f t="shared" si="2"/>
        <v>0</v>
      </c>
      <c r="F247" s="18">
        <f t="shared" si="2"/>
        <v>0</v>
      </c>
      <c r="G247" s="18">
        <f t="shared" si="2"/>
        <v>0</v>
      </c>
      <c r="H247" s="18">
        <f t="shared" si="2"/>
        <v>0</v>
      </c>
      <c r="I247" s="18">
        <f t="shared" si="2"/>
        <v>0</v>
      </c>
      <c r="J247" s="18">
        <f t="shared" si="2"/>
        <v>0</v>
      </c>
      <c r="K247" s="59">
        <f t="shared" si="0"/>
        <v>0</v>
      </c>
    </row>
    <row r="248" spans="1:11" ht="15.75" customHeight="1" x14ac:dyDescent="0.3">
      <c r="A248" s="27" t="s">
        <v>34</v>
      </c>
      <c r="B248" s="18">
        <f t="shared" si="2"/>
        <v>8.1999999999999993</v>
      </c>
      <c r="C248" s="18">
        <f t="shared" si="2"/>
        <v>7.2</v>
      </c>
      <c r="D248" s="18">
        <f t="shared" si="2"/>
        <v>0.4</v>
      </c>
      <c r="E248" s="18">
        <f t="shared" si="2"/>
        <v>0.2</v>
      </c>
      <c r="F248" s="18">
        <f t="shared" si="2"/>
        <v>0</v>
      </c>
      <c r="G248" s="18">
        <f t="shared" si="2"/>
        <v>0</v>
      </c>
      <c r="H248" s="18">
        <f t="shared" si="2"/>
        <v>0</v>
      </c>
      <c r="I248" s="18">
        <f t="shared" si="2"/>
        <v>0</v>
      </c>
      <c r="J248" s="18">
        <f t="shared" si="2"/>
        <v>0</v>
      </c>
      <c r="K248" s="59">
        <f t="shared" si="0"/>
        <v>16</v>
      </c>
    </row>
    <row r="249" spans="1:11" ht="15.75" customHeight="1" x14ac:dyDescent="0.3">
      <c r="A249" s="27"/>
      <c r="B249" s="18">
        <f t="shared" si="2"/>
        <v>0</v>
      </c>
      <c r="C249" s="18">
        <f t="shared" si="2"/>
        <v>0</v>
      </c>
      <c r="D249" s="18">
        <f t="shared" si="2"/>
        <v>0</v>
      </c>
      <c r="E249" s="18">
        <f t="shared" si="2"/>
        <v>0</v>
      </c>
      <c r="F249" s="18">
        <f t="shared" si="2"/>
        <v>0</v>
      </c>
      <c r="G249" s="18">
        <f t="shared" si="2"/>
        <v>0</v>
      </c>
      <c r="H249" s="18">
        <f t="shared" si="2"/>
        <v>0</v>
      </c>
      <c r="I249" s="18">
        <f t="shared" si="2"/>
        <v>0</v>
      </c>
      <c r="J249" s="18">
        <f t="shared" si="2"/>
        <v>0</v>
      </c>
      <c r="K249" s="59">
        <f t="shared" si="0"/>
        <v>0</v>
      </c>
    </row>
    <row r="250" spans="1:11" ht="15.75" customHeight="1" x14ac:dyDescent="0.3">
      <c r="A250" s="27" t="s">
        <v>35</v>
      </c>
      <c r="B250" s="18">
        <f t="shared" si="2"/>
        <v>13.2</v>
      </c>
      <c r="C250" s="18">
        <f t="shared" si="2"/>
        <v>8.4</v>
      </c>
      <c r="D250" s="18">
        <f t="shared" si="2"/>
        <v>0.2</v>
      </c>
      <c r="E250" s="18">
        <f t="shared" si="2"/>
        <v>0</v>
      </c>
      <c r="F250" s="18">
        <f t="shared" si="2"/>
        <v>0</v>
      </c>
      <c r="G250" s="18">
        <f t="shared" si="2"/>
        <v>0</v>
      </c>
      <c r="H250" s="18">
        <f t="shared" si="2"/>
        <v>0</v>
      </c>
      <c r="I250" s="18">
        <f t="shared" si="2"/>
        <v>0</v>
      </c>
      <c r="J250" s="18">
        <f t="shared" si="2"/>
        <v>0</v>
      </c>
      <c r="K250" s="59">
        <f t="shared" si="0"/>
        <v>21.8</v>
      </c>
    </row>
    <row r="251" spans="1:11" ht="15.75" customHeight="1" x14ac:dyDescent="0.3">
      <c r="A251" s="29"/>
      <c r="B251" s="19"/>
      <c r="C251" s="19"/>
      <c r="D251" s="19"/>
      <c r="E251" s="19"/>
      <c r="F251" s="19"/>
      <c r="G251" s="19"/>
      <c r="H251" s="19"/>
      <c r="I251" s="19"/>
      <c r="J251" s="19"/>
      <c r="K251" s="59">
        <f t="shared" si="0"/>
        <v>0</v>
      </c>
    </row>
    <row r="252" spans="1:11" ht="15.75" customHeight="1" x14ac:dyDescent="0.25">
      <c r="A252" s="63" t="s">
        <v>21</v>
      </c>
      <c r="B252" s="63">
        <f>SUM(B228:B250)</f>
        <v>204.59999999999997</v>
      </c>
      <c r="C252" s="63">
        <f t="shared" ref="C252:J252" si="3">SUM(C228:C250)</f>
        <v>178.79999999999998</v>
      </c>
      <c r="D252" s="63">
        <f t="shared" si="3"/>
        <v>18</v>
      </c>
      <c r="E252" s="63">
        <f t="shared" si="3"/>
        <v>0.8</v>
      </c>
      <c r="F252" s="63">
        <f t="shared" si="3"/>
        <v>0</v>
      </c>
      <c r="G252" s="63">
        <f t="shared" si="3"/>
        <v>0.2</v>
      </c>
      <c r="H252" s="63">
        <f t="shared" si="3"/>
        <v>0</v>
      </c>
      <c r="I252" s="63">
        <f t="shared" si="3"/>
        <v>0</v>
      </c>
      <c r="J252" s="63">
        <f t="shared" si="3"/>
        <v>0</v>
      </c>
      <c r="K252" s="63">
        <f>SUM(K225:K251)</f>
        <v>232.00000000000003</v>
      </c>
    </row>
    <row r="253" spans="1:11" ht="15.75" customHeight="1" x14ac:dyDescent="0.2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</row>
  </sheetData>
  <mergeCells count="126">
    <mergeCell ref="A218:E218"/>
    <mergeCell ref="G218:J218"/>
    <mergeCell ref="A219:E219"/>
    <mergeCell ref="G219:J219"/>
    <mergeCell ref="A221:K221"/>
    <mergeCell ref="A222:K222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A50:K50"/>
    <mergeCell ref="E51:F51"/>
    <mergeCell ref="A80:A81"/>
    <mergeCell ref="B80:B81"/>
    <mergeCell ref="C80:C81"/>
    <mergeCell ref="D80:D81"/>
    <mergeCell ref="E80:E81"/>
    <mergeCell ref="A216:E216"/>
    <mergeCell ref="A217:C217"/>
    <mergeCell ref="G217:I217"/>
    <mergeCell ref="A93:K93"/>
    <mergeCell ref="E94:F94"/>
    <mergeCell ref="F80:F81"/>
    <mergeCell ref="G80:G81"/>
    <mergeCell ref="A87:E87"/>
    <mergeCell ref="A88:C88"/>
    <mergeCell ref="G88:I88"/>
    <mergeCell ref="A89:E89"/>
    <mergeCell ref="A90:E90"/>
    <mergeCell ref="J80:J81"/>
    <mergeCell ref="K80:K81"/>
    <mergeCell ref="G166:G167"/>
    <mergeCell ref="H166:H167"/>
    <mergeCell ref="G174:I174"/>
    <mergeCell ref="G175:J175"/>
    <mergeCell ref="G176:J176"/>
    <mergeCell ref="I166:I167"/>
    <mergeCell ref="J166:J167"/>
    <mergeCell ref="A135:K135"/>
    <mergeCell ref="A136:K136"/>
    <mergeCell ref="E137:F137"/>
    <mergeCell ref="A166:A167"/>
    <mergeCell ref="B166:B167"/>
    <mergeCell ref="C166:C167"/>
    <mergeCell ref="D166:D167"/>
    <mergeCell ref="K166:K167"/>
    <mergeCell ref="E166:E167"/>
    <mergeCell ref="F166:F167"/>
    <mergeCell ref="A173:E173"/>
    <mergeCell ref="A174:C174"/>
    <mergeCell ref="A175:E175"/>
    <mergeCell ref="A176:E176"/>
    <mergeCell ref="A178:K178"/>
    <mergeCell ref="F209:F210"/>
    <mergeCell ref="G209:G210"/>
    <mergeCell ref="H209:H210"/>
    <mergeCell ref="I209:I210"/>
    <mergeCell ref="J209:J210"/>
    <mergeCell ref="K209:K210"/>
    <mergeCell ref="A179:K179"/>
    <mergeCell ref="E180:F180"/>
    <mergeCell ref="A209:A210"/>
    <mergeCell ref="B209:B210"/>
    <mergeCell ref="C209:C210"/>
    <mergeCell ref="D209:D210"/>
    <mergeCell ref="E209:E210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G45:I45"/>
    <mergeCell ref="G46:J46"/>
    <mergeCell ref="G47:J47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4:E44"/>
    <mergeCell ref="A45:C45"/>
    <mergeCell ref="A46:E46"/>
    <mergeCell ref="A47:E47"/>
    <mergeCell ref="A49:K49"/>
    <mergeCell ref="H80:H81"/>
    <mergeCell ref="I80:I81"/>
    <mergeCell ref="A130:E130"/>
    <mergeCell ref="A131:C131"/>
    <mergeCell ref="G131:I131"/>
    <mergeCell ref="A132:E132"/>
    <mergeCell ref="G132:J132"/>
    <mergeCell ref="A133:E133"/>
    <mergeCell ref="G133:J133"/>
    <mergeCell ref="H123:H124"/>
    <mergeCell ref="I123:I124"/>
    <mergeCell ref="J123:J124"/>
    <mergeCell ref="K123:K124"/>
    <mergeCell ref="A123:A124"/>
    <mergeCell ref="B123:B124"/>
    <mergeCell ref="C123:C124"/>
    <mergeCell ref="D123:D124"/>
    <mergeCell ref="E123:E124"/>
    <mergeCell ref="F123:F124"/>
    <mergeCell ref="G123:G124"/>
    <mergeCell ref="G89:J89"/>
    <mergeCell ref="G90:J90"/>
    <mergeCell ref="A92:K9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253"/>
  <sheetViews>
    <sheetView topLeftCell="A259" workbookViewId="0">
      <selection activeCell="K252" sqref="K252:K253"/>
    </sheetView>
  </sheetViews>
  <sheetFormatPr defaultColWidth="12.6328125" defaultRowHeight="15.75" customHeight="1" x14ac:dyDescent="0.25"/>
  <sheetData>
    <row r="1" spans="1:11" ht="14" x14ac:dyDescent="0.3">
      <c r="A1" s="65" t="s">
        <v>0</v>
      </c>
      <c r="B1" s="66"/>
      <c r="C1" s="66"/>
      <c r="D1" s="66"/>
      <c r="E1" s="66"/>
      <c r="F1" s="2"/>
      <c r="G1" s="2"/>
      <c r="H1" s="2"/>
      <c r="I1" s="2"/>
      <c r="J1" s="2"/>
      <c r="K1" s="2"/>
    </row>
    <row r="2" spans="1:11" ht="14" x14ac:dyDescent="0.3">
      <c r="A2" s="65" t="s">
        <v>1</v>
      </c>
      <c r="B2" s="66"/>
      <c r="C2" s="66"/>
      <c r="D2" s="2"/>
      <c r="E2" s="2"/>
      <c r="F2" s="2"/>
      <c r="G2" s="65" t="s">
        <v>72</v>
      </c>
      <c r="H2" s="66"/>
      <c r="I2" s="66"/>
      <c r="J2" s="1"/>
      <c r="K2" s="2"/>
    </row>
    <row r="3" spans="1:11" ht="14" x14ac:dyDescent="0.3">
      <c r="A3" s="65" t="s">
        <v>3</v>
      </c>
      <c r="B3" s="66"/>
      <c r="C3" s="66"/>
      <c r="D3" s="66"/>
      <c r="E3" s="66"/>
      <c r="F3" s="2"/>
      <c r="G3" s="65" t="s">
        <v>4</v>
      </c>
      <c r="H3" s="66"/>
      <c r="I3" s="66"/>
      <c r="J3" s="66"/>
      <c r="K3" s="2"/>
    </row>
    <row r="4" spans="1:11" ht="14" x14ac:dyDescent="0.3">
      <c r="A4" s="65" t="s">
        <v>5</v>
      </c>
      <c r="B4" s="66"/>
      <c r="C4" s="66"/>
      <c r="D4" s="66"/>
      <c r="E4" s="66"/>
      <c r="F4" s="2"/>
      <c r="G4" s="65" t="s">
        <v>6</v>
      </c>
      <c r="H4" s="66"/>
      <c r="I4" s="66"/>
      <c r="J4" s="6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60" t="s">
        <v>7</v>
      </c>
      <c r="B6" s="61"/>
      <c r="C6" s="61"/>
      <c r="D6" s="61"/>
      <c r="E6" s="61"/>
      <c r="F6" s="61"/>
      <c r="G6" s="61"/>
      <c r="H6" s="61"/>
      <c r="I6" s="61"/>
      <c r="J6" s="61"/>
      <c r="K6" s="62"/>
    </row>
    <row r="7" spans="1:11" ht="14" x14ac:dyDescent="0.3">
      <c r="A7" s="67" t="s">
        <v>8</v>
      </c>
      <c r="B7" s="68"/>
      <c r="C7" s="68"/>
      <c r="D7" s="68"/>
      <c r="E7" s="68"/>
      <c r="F7" s="68"/>
      <c r="G7" s="68"/>
      <c r="H7" s="68"/>
      <c r="I7" s="68"/>
      <c r="J7" s="68"/>
      <c r="K7" s="69"/>
    </row>
    <row r="8" spans="1:11" ht="14" x14ac:dyDescent="0.3">
      <c r="A8" s="4" t="s">
        <v>9</v>
      </c>
      <c r="B8" s="5"/>
      <c r="C8" s="5"/>
      <c r="D8" s="5"/>
      <c r="E8" s="70" t="s">
        <v>10</v>
      </c>
      <c r="F8" s="71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59">
        <v>-179</v>
      </c>
    </row>
    <row r="11" spans="1:11" ht="15.75" customHeight="1" x14ac:dyDescent="0.25">
      <c r="A11" s="12" t="s">
        <v>23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4">
        <v>0</v>
      </c>
    </row>
    <row r="12" spans="1:11" ht="15.75" customHeight="1" x14ac:dyDescent="0.25">
      <c r="A12" s="12"/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0</v>
      </c>
    </row>
    <row r="13" spans="1:11" ht="14" x14ac:dyDescent="0.3">
      <c r="A13" s="27" t="s">
        <v>24</v>
      </c>
      <c r="B13" s="18">
        <v>1</v>
      </c>
      <c r="C13" s="18">
        <v>0</v>
      </c>
      <c r="D13" s="18">
        <v>1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9">
        <v>2</v>
      </c>
    </row>
    <row r="14" spans="1:11" ht="14" x14ac:dyDescent="0.3">
      <c r="A14" s="27"/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9">
        <v>0</v>
      </c>
    </row>
    <row r="15" spans="1:11" ht="14" x14ac:dyDescent="0.3">
      <c r="A15" s="27" t="s">
        <v>25</v>
      </c>
      <c r="B15" s="18">
        <v>1</v>
      </c>
      <c r="C15" s="18">
        <v>0</v>
      </c>
      <c r="D15" s="18">
        <v>1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9">
        <v>2</v>
      </c>
    </row>
    <row r="16" spans="1:11" ht="14" x14ac:dyDescent="0.3">
      <c r="A16" s="27"/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9">
        <v>0</v>
      </c>
    </row>
    <row r="17" spans="1:11" ht="14" x14ac:dyDescent="0.3">
      <c r="A17" s="27" t="s">
        <v>26</v>
      </c>
      <c r="B17" s="18">
        <v>4</v>
      </c>
      <c r="C17" s="18">
        <v>2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9">
        <v>6</v>
      </c>
    </row>
    <row r="18" spans="1:11" ht="14" x14ac:dyDescent="0.3">
      <c r="A18" s="27"/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9">
        <v>0</v>
      </c>
    </row>
    <row r="19" spans="1:11" ht="14" x14ac:dyDescent="0.3">
      <c r="A19" s="27" t="s">
        <v>27</v>
      </c>
      <c r="B19" s="18">
        <v>3</v>
      </c>
      <c r="C19" s="18">
        <v>5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9">
        <v>8</v>
      </c>
    </row>
    <row r="20" spans="1:11" ht="14" x14ac:dyDescent="0.3">
      <c r="A20" s="27"/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9">
        <v>0</v>
      </c>
    </row>
    <row r="21" spans="1:11" ht="14" x14ac:dyDescent="0.3">
      <c r="A21" s="27" t="s">
        <v>28</v>
      </c>
      <c r="B21" s="18">
        <v>15</v>
      </c>
      <c r="C21" s="18">
        <v>21</v>
      </c>
      <c r="D21" s="18">
        <v>4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9">
        <v>40</v>
      </c>
    </row>
    <row r="22" spans="1:11" ht="14" x14ac:dyDescent="0.3">
      <c r="A22" s="27"/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9">
        <v>0</v>
      </c>
    </row>
    <row r="23" spans="1:11" ht="14" x14ac:dyDescent="0.3">
      <c r="A23" s="27" t="s">
        <v>29</v>
      </c>
      <c r="B23" s="18">
        <v>37</v>
      </c>
      <c r="C23" s="18">
        <v>45</v>
      </c>
      <c r="D23" s="18">
        <v>1</v>
      </c>
      <c r="E23" s="18">
        <v>1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9">
        <v>84</v>
      </c>
    </row>
    <row r="24" spans="1:11" ht="14" x14ac:dyDescent="0.3">
      <c r="A24" s="27"/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9">
        <v>0</v>
      </c>
    </row>
    <row r="25" spans="1:11" ht="14" x14ac:dyDescent="0.3">
      <c r="A25" s="27" t="s">
        <v>30</v>
      </c>
      <c r="B25" s="18">
        <v>24</v>
      </c>
      <c r="C25" s="18">
        <v>39</v>
      </c>
      <c r="D25" s="18">
        <v>9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9">
        <v>72</v>
      </c>
    </row>
    <row r="26" spans="1:11" ht="14" x14ac:dyDescent="0.3">
      <c r="A26" s="27"/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9">
        <v>0</v>
      </c>
    </row>
    <row r="27" spans="1:11" ht="14" x14ac:dyDescent="0.3">
      <c r="A27" s="27" t="s">
        <v>31</v>
      </c>
      <c r="B27" s="18">
        <v>15</v>
      </c>
      <c r="C27" s="18">
        <v>14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9">
        <v>29</v>
      </c>
    </row>
    <row r="28" spans="1:11" ht="14" x14ac:dyDescent="0.3">
      <c r="A28" s="27"/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9">
        <v>0</v>
      </c>
    </row>
    <row r="29" spans="1:11" ht="14" x14ac:dyDescent="0.3">
      <c r="A29" s="27" t="s">
        <v>32</v>
      </c>
      <c r="B29" s="18">
        <v>2</v>
      </c>
      <c r="C29" s="18">
        <v>0</v>
      </c>
      <c r="D29" s="18">
        <v>1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9">
        <v>3</v>
      </c>
    </row>
    <row r="30" spans="1:11" ht="14" x14ac:dyDescent="0.3">
      <c r="A30" s="27"/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9">
        <v>0</v>
      </c>
    </row>
    <row r="31" spans="1:11" ht="14" x14ac:dyDescent="0.3">
      <c r="A31" s="27" t="s">
        <v>33</v>
      </c>
      <c r="B31" s="18">
        <v>3</v>
      </c>
      <c r="C31" s="18">
        <v>4</v>
      </c>
      <c r="D31" s="18">
        <v>2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9">
        <v>9</v>
      </c>
    </row>
    <row r="32" spans="1:11" ht="14" x14ac:dyDescent="0.3">
      <c r="A32" s="27"/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9">
        <v>0</v>
      </c>
    </row>
    <row r="33" spans="1:11" ht="14" x14ac:dyDescent="0.3">
      <c r="A33" s="27" t="s">
        <v>34</v>
      </c>
      <c r="B33" s="18">
        <v>5</v>
      </c>
      <c r="C33" s="18">
        <v>4</v>
      </c>
      <c r="D33" s="18">
        <v>2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9">
        <v>11</v>
      </c>
    </row>
    <row r="34" spans="1:11" ht="14" x14ac:dyDescent="0.3">
      <c r="A34" s="27"/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9">
        <v>0</v>
      </c>
    </row>
    <row r="35" spans="1:11" ht="14" x14ac:dyDescent="0.3">
      <c r="A35" s="27" t="s">
        <v>35</v>
      </c>
      <c r="B35" s="18">
        <v>7</v>
      </c>
      <c r="C35" s="18">
        <v>6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9">
        <v>13</v>
      </c>
    </row>
    <row r="36" spans="1:11" ht="12.5" x14ac:dyDescent="0.25">
      <c r="A36" s="15"/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</row>
    <row r="37" spans="1:11" ht="12.5" x14ac:dyDescent="0.25">
      <c r="A37" s="63" t="s">
        <v>21</v>
      </c>
      <c r="B37" s="63">
        <v>117</v>
      </c>
      <c r="C37" s="63">
        <v>140</v>
      </c>
      <c r="D37" s="63">
        <v>21</v>
      </c>
      <c r="E37" s="63">
        <v>1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100</v>
      </c>
    </row>
    <row r="38" spans="1:11" ht="12.5" x14ac:dyDescent="0.2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1:11" ht="12.5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1:11" ht="12.5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65" t="s">
        <v>0</v>
      </c>
      <c r="B44" s="66"/>
      <c r="C44" s="66"/>
      <c r="D44" s="66"/>
      <c r="E44" s="66"/>
      <c r="F44" s="2"/>
      <c r="G44" s="2"/>
      <c r="H44" s="2"/>
      <c r="I44" s="2"/>
      <c r="J44" s="2"/>
      <c r="K44" s="2"/>
    </row>
    <row r="45" spans="1:11" ht="14" x14ac:dyDescent="0.3">
      <c r="A45" s="65" t="s">
        <v>1</v>
      </c>
      <c r="B45" s="66"/>
      <c r="C45" s="66"/>
      <c r="D45" s="2"/>
      <c r="E45" s="2"/>
      <c r="F45" s="2"/>
      <c r="G45" s="65" t="s">
        <v>73</v>
      </c>
      <c r="H45" s="66"/>
      <c r="I45" s="66"/>
      <c r="J45" s="1"/>
      <c r="K45" s="2"/>
    </row>
    <row r="46" spans="1:11" ht="14" x14ac:dyDescent="0.3">
      <c r="A46" s="65" t="s">
        <v>3</v>
      </c>
      <c r="B46" s="66"/>
      <c r="C46" s="66"/>
      <c r="D46" s="66"/>
      <c r="E46" s="66"/>
      <c r="F46" s="2"/>
      <c r="G46" s="65" t="s">
        <v>4</v>
      </c>
      <c r="H46" s="66"/>
      <c r="I46" s="66"/>
      <c r="J46" s="66"/>
      <c r="K46" s="2"/>
    </row>
    <row r="47" spans="1:11" ht="14" x14ac:dyDescent="0.3">
      <c r="A47" s="65" t="s">
        <v>5</v>
      </c>
      <c r="B47" s="66"/>
      <c r="C47" s="66"/>
      <c r="D47" s="66"/>
      <c r="E47" s="66"/>
      <c r="F47" s="2"/>
      <c r="G47" s="65" t="s">
        <v>6</v>
      </c>
      <c r="H47" s="66"/>
      <c r="I47" s="66"/>
      <c r="J47" s="6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60" t="s">
        <v>7</v>
      </c>
      <c r="B49" s="61"/>
      <c r="C49" s="61"/>
      <c r="D49" s="61"/>
      <c r="E49" s="61"/>
      <c r="F49" s="61"/>
      <c r="G49" s="61"/>
      <c r="H49" s="61"/>
      <c r="I49" s="61"/>
      <c r="J49" s="61"/>
      <c r="K49" s="62"/>
    </row>
    <row r="50" spans="1:11" ht="14" x14ac:dyDescent="0.3">
      <c r="A50" s="67" t="s">
        <v>8</v>
      </c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" x14ac:dyDescent="0.3">
      <c r="A51" s="4" t="s">
        <v>9</v>
      </c>
      <c r="B51" s="5"/>
      <c r="C51" s="5"/>
      <c r="D51" s="5"/>
      <c r="E51" s="70" t="s">
        <v>10</v>
      </c>
      <c r="F51" s="71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59">
        <v>-185</v>
      </c>
    </row>
    <row r="54" spans="1:11" ht="12.5" x14ac:dyDescent="0.25">
      <c r="A54" s="12" t="s">
        <v>23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0</v>
      </c>
    </row>
    <row r="55" spans="1:11" ht="12.5" x14ac:dyDescent="0.25">
      <c r="A55" s="12"/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4">
        <v>0</v>
      </c>
    </row>
    <row r="56" spans="1:11" ht="14" x14ac:dyDescent="0.3">
      <c r="A56" s="27" t="s">
        <v>24</v>
      </c>
      <c r="B56" s="18">
        <v>4</v>
      </c>
      <c r="C56" s="18">
        <v>5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9">
        <v>9</v>
      </c>
    </row>
    <row r="57" spans="1:11" ht="14" x14ac:dyDescent="0.3">
      <c r="A57" s="27"/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9">
        <v>0</v>
      </c>
    </row>
    <row r="58" spans="1:11" ht="14" x14ac:dyDescent="0.3">
      <c r="A58" s="27" t="s">
        <v>25</v>
      </c>
      <c r="B58" s="18">
        <v>5</v>
      </c>
      <c r="C58" s="18">
        <v>3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9">
        <v>8</v>
      </c>
    </row>
    <row r="59" spans="1:11" ht="14" x14ac:dyDescent="0.3">
      <c r="A59" s="27"/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9">
        <v>0</v>
      </c>
    </row>
    <row r="60" spans="1:11" ht="14" x14ac:dyDescent="0.3">
      <c r="A60" s="27" t="s">
        <v>26</v>
      </c>
      <c r="B60" s="18">
        <v>9</v>
      </c>
      <c r="C60" s="18">
        <v>3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9">
        <v>12</v>
      </c>
    </row>
    <row r="61" spans="1:11" ht="14" x14ac:dyDescent="0.3">
      <c r="A61" s="27"/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9">
        <v>0</v>
      </c>
    </row>
    <row r="62" spans="1:11" ht="14" x14ac:dyDescent="0.3">
      <c r="A62" s="27" t="s">
        <v>27</v>
      </c>
      <c r="B62" s="18">
        <v>5</v>
      </c>
      <c r="C62" s="18">
        <v>2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9">
        <v>7</v>
      </c>
    </row>
    <row r="63" spans="1:11" ht="14" x14ac:dyDescent="0.3">
      <c r="A63" s="27"/>
      <c r="B63" s="18">
        <v>0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9">
        <v>0</v>
      </c>
    </row>
    <row r="64" spans="1:11" ht="14" x14ac:dyDescent="0.3">
      <c r="A64" s="27" t="s">
        <v>28</v>
      </c>
      <c r="B64" s="18">
        <v>8</v>
      </c>
      <c r="C64" s="18">
        <v>7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9">
        <v>15</v>
      </c>
    </row>
    <row r="65" spans="1:11" ht="14" x14ac:dyDescent="0.3">
      <c r="A65" s="27"/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9">
        <v>0</v>
      </c>
    </row>
    <row r="66" spans="1:11" ht="14" x14ac:dyDescent="0.3">
      <c r="A66" s="27" t="s">
        <v>29</v>
      </c>
      <c r="B66" s="18">
        <v>27</v>
      </c>
      <c r="C66" s="18">
        <v>22</v>
      </c>
      <c r="D66" s="18">
        <v>1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9">
        <v>50</v>
      </c>
    </row>
    <row r="67" spans="1:11" ht="14" x14ac:dyDescent="0.3">
      <c r="A67" s="27"/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9">
        <v>0</v>
      </c>
    </row>
    <row r="68" spans="1:11" ht="14" x14ac:dyDescent="0.3">
      <c r="A68" s="27" t="s">
        <v>30</v>
      </c>
      <c r="B68" s="18">
        <v>29</v>
      </c>
      <c r="C68" s="18">
        <v>45</v>
      </c>
      <c r="D68" s="18">
        <v>2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9">
        <v>76</v>
      </c>
    </row>
    <row r="69" spans="1:11" ht="14" x14ac:dyDescent="0.3">
      <c r="A69" s="27"/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9">
        <v>0</v>
      </c>
    </row>
    <row r="70" spans="1:11" ht="14" x14ac:dyDescent="0.3">
      <c r="A70" s="27" t="s">
        <v>31</v>
      </c>
      <c r="B70" s="18">
        <v>19</v>
      </c>
      <c r="C70" s="18">
        <v>12</v>
      </c>
      <c r="D70" s="18">
        <v>1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9">
        <v>32</v>
      </c>
    </row>
    <row r="71" spans="1:11" ht="14" x14ac:dyDescent="0.3">
      <c r="A71" s="27"/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9">
        <v>0</v>
      </c>
    </row>
    <row r="72" spans="1:11" ht="14" x14ac:dyDescent="0.3">
      <c r="A72" s="27" t="s">
        <v>32</v>
      </c>
      <c r="B72" s="18">
        <v>10</v>
      </c>
      <c r="C72" s="18">
        <v>8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9">
        <v>18</v>
      </c>
    </row>
    <row r="73" spans="1:11" ht="14" x14ac:dyDescent="0.3">
      <c r="A73" s="27"/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9">
        <v>0</v>
      </c>
    </row>
    <row r="74" spans="1:11" ht="14" x14ac:dyDescent="0.3">
      <c r="A74" s="27" t="s">
        <v>33</v>
      </c>
      <c r="B74" s="18">
        <v>5</v>
      </c>
      <c r="C74" s="18">
        <v>2</v>
      </c>
      <c r="D74" s="18">
        <v>1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9">
        <v>8</v>
      </c>
    </row>
    <row r="75" spans="1:11" ht="14" x14ac:dyDescent="0.3">
      <c r="A75" s="27"/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9">
        <v>0</v>
      </c>
    </row>
    <row r="76" spans="1:11" ht="14" x14ac:dyDescent="0.3">
      <c r="A76" s="27" t="s">
        <v>34</v>
      </c>
      <c r="B76" s="18">
        <v>9</v>
      </c>
      <c r="C76" s="18">
        <v>4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9">
        <v>13</v>
      </c>
    </row>
    <row r="77" spans="1:11" ht="14" x14ac:dyDescent="0.3">
      <c r="A77" s="27"/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9">
        <v>0</v>
      </c>
    </row>
    <row r="78" spans="1:11" ht="14" x14ac:dyDescent="0.3">
      <c r="A78" s="27" t="s">
        <v>35</v>
      </c>
      <c r="B78" s="18">
        <v>18</v>
      </c>
      <c r="C78" s="18">
        <v>19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9">
        <v>37</v>
      </c>
    </row>
    <row r="79" spans="1:11" ht="12.5" x14ac:dyDescent="0.25">
      <c r="A79" s="15"/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</row>
    <row r="80" spans="1:11" ht="12.5" x14ac:dyDescent="0.25">
      <c r="A80" s="63" t="s">
        <v>21</v>
      </c>
      <c r="B80" s="63">
        <v>148</v>
      </c>
      <c r="C80" s="63">
        <v>132</v>
      </c>
      <c r="D80" s="63">
        <v>5</v>
      </c>
      <c r="E80" s="63">
        <v>0</v>
      </c>
      <c r="F80" s="63">
        <v>0</v>
      </c>
      <c r="G80" s="63">
        <v>0</v>
      </c>
      <c r="H80" s="63">
        <v>0</v>
      </c>
      <c r="I80" s="63">
        <v>0</v>
      </c>
      <c r="J80" s="63">
        <v>0</v>
      </c>
      <c r="K80" s="63">
        <v>100</v>
      </c>
    </row>
    <row r="81" spans="1:11" ht="12.5" x14ac:dyDescent="0.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</row>
    <row r="82" spans="1:11" ht="12.5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</row>
    <row r="83" spans="1:11" ht="12.5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65" t="s">
        <v>0</v>
      </c>
      <c r="B87" s="66"/>
      <c r="C87" s="66"/>
      <c r="D87" s="66"/>
      <c r="E87" s="66"/>
      <c r="F87" s="2"/>
      <c r="G87" s="2"/>
      <c r="H87" s="2"/>
      <c r="I87" s="2"/>
      <c r="J87" s="2"/>
      <c r="K87" s="2"/>
    </row>
    <row r="88" spans="1:11" ht="14" x14ac:dyDescent="0.3">
      <c r="A88" s="65" t="s">
        <v>1</v>
      </c>
      <c r="B88" s="66"/>
      <c r="C88" s="66"/>
      <c r="D88" s="2"/>
      <c r="E88" s="2"/>
      <c r="F88" s="2"/>
      <c r="G88" s="65" t="s">
        <v>74</v>
      </c>
      <c r="H88" s="66"/>
      <c r="I88" s="66"/>
      <c r="J88" s="1"/>
      <c r="K88" s="2"/>
    </row>
    <row r="89" spans="1:11" ht="14" x14ac:dyDescent="0.3">
      <c r="A89" s="65" t="s">
        <v>3</v>
      </c>
      <c r="B89" s="66"/>
      <c r="C89" s="66"/>
      <c r="D89" s="66"/>
      <c r="E89" s="66"/>
      <c r="F89" s="2"/>
      <c r="G89" s="65" t="s">
        <v>4</v>
      </c>
      <c r="H89" s="66"/>
      <c r="I89" s="66"/>
      <c r="J89" s="66"/>
      <c r="K89" s="2"/>
    </row>
    <row r="90" spans="1:11" ht="14" x14ac:dyDescent="0.3">
      <c r="A90" s="65" t="s">
        <v>5</v>
      </c>
      <c r="B90" s="66"/>
      <c r="C90" s="66"/>
      <c r="D90" s="66"/>
      <c r="E90" s="66"/>
      <c r="F90" s="2"/>
      <c r="G90" s="65" t="s">
        <v>6</v>
      </c>
      <c r="H90" s="66"/>
      <c r="I90" s="66"/>
      <c r="J90" s="6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60" t="s">
        <v>7</v>
      </c>
      <c r="B92" s="61"/>
      <c r="C92" s="61"/>
      <c r="D92" s="61"/>
      <c r="E92" s="61"/>
      <c r="F92" s="61"/>
      <c r="G92" s="61"/>
      <c r="H92" s="61"/>
      <c r="I92" s="61"/>
      <c r="J92" s="61"/>
      <c r="K92" s="62"/>
    </row>
    <row r="93" spans="1:11" ht="14" x14ac:dyDescent="0.3">
      <c r="A93" s="67" t="s">
        <v>8</v>
      </c>
      <c r="B93" s="68"/>
      <c r="C93" s="68"/>
      <c r="D93" s="68"/>
      <c r="E93" s="68"/>
      <c r="F93" s="68"/>
      <c r="G93" s="68"/>
      <c r="H93" s="68"/>
      <c r="I93" s="68"/>
      <c r="J93" s="68"/>
      <c r="K93" s="69"/>
    </row>
    <row r="94" spans="1:11" ht="14" x14ac:dyDescent="0.3">
      <c r="A94" s="4" t="s">
        <v>9</v>
      </c>
      <c r="B94" s="5"/>
      <c r="C94" s="5"/>
      <c r="D94" s="5"/>
      <c r="E94" s="70" t="s">
        <v>10</v>
      </c>
      <c r="F94" s="71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9" t="s">
        <v>22</v>
      </c>
      <c r="B96" s="17">
        <v>0</v>
      </c>
      <c r="C96" s="17">
        <v>0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59">
        <v>-298</v>
      </c>
    </row>
    <row r="97" spans="1:11" ht="12.5" x14ac:dyDescent="0.25">
      <c r="A97" s="12" t="s">
        <v>23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4">
        <v>0</v>
      </c>
    </row>
    <row r="98" spans="1:11" ht="12.5" x14ac:dyDescent="0.25">
      <c r="A98" s="12"/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0</v>
      </c>
    </row>
    <row r="99" spans="1:11" ht="14" x14ac:dyDescent="0.3">
      <c r="A99" s="27" t="s">
        <v>24</v>
      </c>
      <c r="B99" s="18">
        <v>2</v>
      </c>
      <c r="C99" s="18">
        <v>2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9">
        <v>4</v>
      </c>
    </row>
    <row r="100" spans="1:11" ht="14" x14ac:dyDescent="0.3">
      <c r="A100" s="27"/>
      <c r="B100" s="18">
        <v>0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  <c r="K100" s="19">
        <v>0</v>
      </c>
    </row>
    <row r="101" spans="1:11" ht="14" x14ac:dyDescent="0.3">
      <c r="A101" s="27" t="s">
        <v>25</v>
      </c>
      <c r="B101" s="18">
        <v>4</v>
      </c>
      <c r="C101" s="18">
        <v>6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9">
        <v>10</v>
      </c>
    </row>
    <row r="102" spans="1:11" ht="14" x14ac:dyDescent="0.3">
      <c r="A102" s="27"/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9">
        <v>0</v>
      </c>
    </row>
    <row r="103" spans="1:11" ht="14" x14ac:dyDescent="0.3">
      <c r="A103" s="27" t="s">
        <v>26</v>
      </c>
      <c r="B103" s="18">
        <v>8</v>
      </c>
      <c r="C103" s="18">
        <v>4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9">
        <v>12</v>
      </c>
    </row>
    <row r="104" spans="1:11" ht="14" x14ac:dyDescent="0.3">
      <c r="A104" s="27"/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9">
        <v>0</v>
      </c>
    </row>
    <row r="105" spans="1:11" ht="14" x14ac:dyDescent="0.3">
      <c r="A105" s="27" t="s">
        <v>27</v>
      </c>
      <c r="B105" s="18">
        <v>13</v>
      </c>
      <c r="C105" s="18">
        <v>4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9">
        <v>17</v>
      </c>
    </row>
    <row r="106" spans="1:11" ht="14" x14ac:dyDescent="0.3">
      <c r="A106" s="27"/>
      <c r="B106" s="18">
        <v>0</v>
      </c>
      <c r="C106" s="18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9">
        <v>0</v>
      </c>
    </row>
    <row r="107" spans="1:11" ht="14" x14ac:dyDescent="0.3">
      <c r="A107" s="27" t="s">
        <v>28</v>
      </c>
      <c r="B107" s="18">
        <v>18</v>
      </c>
      <c r="C107" s="18">
        <v>16</v>
      </c>
      <c r="D107" s="18">
        <v>1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9">
        <v>35</v>
      </c>
    </row>
    <row r="108" spans="1:11" ht="14" x14ac:dyDescent="0.3">
      <c r="A108" s="27"/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9">
        <v>0</v>
      </c>
    </row>
    <row r="109" spans="1:11" ht="14" x14ac:dyDescent="0.3">
      <c r="A109" s="27" t="s">
        <v>29</v>
      </c>
      <c r="B109" s="18">
        <v>36</v>
      </c>
      <c r="C109" s="18">
        <v>58</v>
      </c>
      <c r="D109" s="18">
        <v>8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9">
        <v>102</v>
      </c>
    </row>
    <row r="110" spans="1:11" ht="14" x14ac:dyDescent="0.3">
      <c r="A110" s="27"/>
      <c r="B110" s="18">
        <v>0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9">
        <v>0</v>
      </c>
    </row>
    <row r="111" spans="1:11" ht="14" x14ac:dyDescent="0.3">
      <c r="A111" s="27" t="s">
        <v>30</v>
      </c>
      <c r="B111" s="18">
        <v>40</v>
      </c>
      <c r="C111" s="18">
        <v>71</v>
      </c>
      <c r="D111" s="18">
        <v>17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9">
        <v>128</v>
      </c>
    </row>
    <row r="112" spans="1:11" ht="14" x14ac:dyDescent="0.3">
      <c r="A112" s="27"/>
      <c r="B112" s="18">
        <v>0</v>
      </c>
      <c r="C112" s="18">
        <v>0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9">
        <v>0</v>
      </c>
    </row>
    <row r="113" spans="1:11" ht="14" x14ac:dyDescent="0.3">
      <c r="A113" s="27" t="s">
        <v>31</v>
      </c>
      <c r="B113" s="18">
        <v>30</v>
      </c>
      <c r="C113" s="18">
        <v>17</v>
      </c>
      <c r="D113" s="18">
        <v>5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9">
        <v>52</v>
      </c>
    </row>
    <row r="114" spans="1:11" ht="14" x14ac:dyDescent="0.3">
      <c r="A114" s="27"/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9">
        <v>0</v>
      </c>
    </row>
    <row r="115" spans="1:11" ht="14" x14ac:dyDescent="0.3">
      <c r="A115" s="27" t="s">
        <v>32</v>
      </c>
      <c r="B115" s="18">
        <v>2</v>
      </c>
      <c r="C115" s="18">
        <v>3</v>
      </c>
      <c r="D115" s="18">
        <v>0</v>
      </c>
      <c r="E115" s="18">
        <v>1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9">
        <v>6</v>
      </c>
    </row>
    <row r="116" spans="1:11" ht="14" x14ac:dyDescent="0.3">
      <c r="A116" s="27"/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9">
        <v>0</v>
      </c>
    </row>
    <row r="117" spans="1:11" ht="14" x14ac:dyDescent="0.3">
      <c r="A117" s="27" t="s">
        <v>33</v>
      </c>
      <c r="B117" s="18">
        <v>3</v>
      </c>
      <c r="C117" s="18">
        <v>0</v>
      </c>
      <c r="D117" s="18">
        <v>1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9">
        <v>4</v>
      </c>
    </row>
    <row r="118" spans="1:11" ht="14" x14ac:dyDescent="0.3">
      <c r="A118" s="27"/>
      <c r="B118" s="18">
        <v>0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9">
        <v>0</v>
      </c>
    </row>
    <row r="119" spans="1:11" ht="14" x14ac:dyDescent="0.3">
      <c r="A119" s="27" t="s">
        <v>34</v>
      </c>
      <c r="B119" s="18">
        <v>7</v>
      </c>
      <c r="C119" s="18">
        <v>3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9">
        <v>10</v>
      </c>
    </row>
    <row r="120" spans="1:11" ht="14" x14ac:dyDescent="0.3">
      <c r="A120" s="27"/>
      <c r="B120" s="18">
        <v>0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  <c r="K120" s="19">
        <v>0</v>
      </c>
    </row>
    <row r="121" spans="1:11" ht="14" x14ac:dyDescent="0.3">
      <c r="A121" s="27" t="s">
        <v>35</v>
      </c>
      <c r="B121" s="18">
        <v>6</v>
      </c>
      <c r="C121" s="18">
        <v>11</v>
      </c>
      <c r="D121" s="18">
        <v>1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9">
        <v>18</v>
      </c>
    </row>
    <row r="122" spans="1:11" ht="12.5" x14ac:dyDescent="0.25">
      <c r="A122" s="15"/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</row>
    <row r="123" spans="1:11" ht="12.5" x14ac:dyDescent="0.25">
      <c r="A123" s="63" t="s">
        <v>21</v>
      </c>
      <c r="B123" s="63">
        <v>169</v>
      </c>
      <c r="C123" s="63">
        <v>195</v>
      </c>
      <c r="D123" s="63">
        <v>33</v>
      </c>
      <c r="E123" s="63">
        <v>1</v>
      </c>
      <c r="F123" s="63">
        <v>0</v>
      </c>
      <c r="G123" s="63">
        <v>0</v>
      </c>
      <c r="H123" s="63">
        <v>0</v>
      </c>
      <c r="I123" s="63">
        <v>0</v>
      </c>
      <c r="J123" s="63">
        <v>0</v>
      </c>
      <c r="K123" s="63">
        <v>100</v>
      </c>
    </row>
    <row r="124" spans="1:11" ht="12.5" x14ac:dyDescent="0.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2.5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 spans="1:11" ht="12.5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65" t="s">
        <v>0</v>
      </c>
      <c r="B130" s="66"/>
      <c r="C130" s="66"/>
      <c r="D130" s="66"/>
      <c r="E130" s="66"/>
      <c r="F130" s="2"/>
      <c r="G130" s="2"/>
      <c r="H130" s="2"/>
      <c r="I130" s="2"/>
      <c r="J130" s="2"/>
      <c r="K130" s="2"/>
    </row>
    <row r="131" spans="1:11" ht="14" x14ac:dyDescent="0.3">
      <c r="A131" s="65" t="s">
        <v>1</v>
      </c>
      <c r="B131" s="66"/>
      <c r="C131" s="66"/>
      <c r="D131" s="2"/>
      <c r="E131" s="2"/>
      <c r="F131" s="2"/>
      <c r="G131" s="65" t="s">
        <v>75</v>
      </c>
      <c r="H131" s="66"/>
      <c r="I131" s="66"/>
      <c r="J131" s="1"/>
      <c r="K131" s="2"/>
    </row>
    <row r="132" spans="1:11" ht="14" x14ac:dyDescent="0.3">
      <c r="A132" s="65" t="s">
        <v>3</v>
      </c>
      <c r="B132" s="66"/>
      <c r="C132" s="66"/>
      <c r="D132" s="66"/>
      <c r="E132" s="66"/>
      <c r="F132" s="2"/>
      <c r="G132" s="65" t="s">
        <v>4</v>
      </c>
      <c r="H132" s="66"/>
      <c r="I132" s="66"/>
      <c r="J132" s="66"/>
      <c r="K132" s="2"/>
    </row>
    <row r="133" spans="1:11" ht="14" x14ac:dyDescent="0.3">
      <c r="A133" s="65" t="s">
        <v>5</v>
      </c>
      <c r="B133" s="66"/>
      <c r="C133" s="66"/>
      <c r="D133" s="66"/>
      <c r="E133" s="66"/>
      <c r="F133" s="2"/>
      <c r="G133" s="65" t="s">
        <v>6</v>
      </c>
      <c r="H133" s="66"/>
      <c r="I133" s="66"/>
      <c r="J133" s="6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60" t="s">
        <v>7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2"/>
    </row>
    <row r="136" spans="1:11" ht="14" x14ac:dyDescent="0.3">
      <c r="A136" s="67" t="s">
        <v>8</v>
      </c>
      <c r="B136" s="68"/>
      <c r="C136" s="68"/>
      <c r="D136" s="68"/>
      <c r="E136" s="68"/>
      <c r="F136" s="68"/>
      <c r="G136" s="68"/>
      <c r="H136" s="68"/>
      <c r="I136" s="68"/>
      <c r="J136" s="68"/>
      <c r="K136" s="69"/>
    </row>
    <row r="137" spans="1:11" ht="14" x14ac:dyDescent="0.3">
      <c r="A137" s="4" t="s">
        <v>9</v>
      </c>
      <c r="B137" s="5"/>
      <c r="C137" s="5"/>
      <c r="D137" s="5"/>
      <c r="E137" s="70" t="s">
        <v>10</v>
      </c>
      <c r="F137" s="71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>
        <v>0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59">
        <v>-185</v>
      </c>
    </row>
    <row r="140" spans="1:11" ht="12.5" x14ac:dyDescent="0.25">
      <c r="A140" s="12" t="s">
        <v>23</v>
      </c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0</v>
      </c>
    </row>
    <row r="141" spans="1:11" ht="12.5" x14ac:dyDescent="0.25">
      <c r="A141" s="12"/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4">
        <v>0</v>
      </c>
    </row>
    <row r="142" spans="1:11" ht="14" x14ac:dyDescent="0.3">
      <c r="A142" s="27" t="s">
        <v>24</v>
      </c>
      <c r="B142" s="18">
        <v>4</v>
      </c>
      <c r="C142" s="18">
        <v>5</v>
      </c>
      <c r="D142" s="18">
        <v>0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9">
        <v>9</v>
      </c>
    </row>
    <row r="143" spans="1:11" ht="14" x14ac:dyDescent="0.3">
      <c r="A143" s="27"/>
      <c r="B143" s="18">
        <v>0</v>
      </c>
      <c r="C143" s="18">
        <v>0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9">
        <v>0</v>
      </c>
    </row>
    <row r="144" spans="1:11" ht="14" x14ac:dyDescent="0.3">
      <c r="A144" s="27" t="s">
        <v>25</v>
      </c>
      <c r="B144" s="18">
        <v>5</v>
      </c>
      <c r="C144" s="18">
        <v>3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9">
        <v>8</v>
      </c>
    </row>
    <row r="145" spans="1:11" ht="14" x14ac:dyDescent="0.3">
      <c r="A145" s="27"/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  <c r="K145" s="19">
        <v>0</v>
      </c>
    </row>
    <row r="146" spans="1:11" ht="14" x14ac:dyDescent="0.3">
      <c r="A146" s="27" t="s">
        <v>26</v>
      </c>
      <c r="B146" s="18">
        <v>9</v>
      </c>
      <c r="C146" s="18">
        <v>3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9">
        <v>12</v>
      </c>
    </row>
    <row r="147" spans="1:11" ht="14" x14ac:dyDescent="0.3">
      <c r="A147" s="27"/>
      <c r="B147" s="18">
        <v>0</v>
      </c>
      <c r="C147" s="18">
        <v>0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0</v>
      </c>
      <c r="K147" s="19">
        <v>0</v>
      </c>
    </row>
    <row r="148" spans="1:11" ht="14" x14ac:dyDescent="0.3">
      <c r="A148" s="27" t="s">
        <v>27</v>
      </c>
      <c r="B148" s="18">
        <v>5</v>
      </c>
      <c r="C148" s="18">
        <v>2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9">
        <v>7</v>
      </c>
    </row>
    <row r="149" spans="1:11" ht="14" x14ac:dyDescent="0.3">
      <c r="A149" s="27"/>
      <c r="B149" s="18">
        <v>0</v>
      </c>
      <c r="C149" s="18">
        <v>0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  <c r="K149" s="19">
        <v>0</v>
      </c>
    </row>
    <row r="150" spans="1:11" ht="14" x14ac:dyDescent="0.3">
      <c r="A150" s="27" t="s">
        <v>28</v>
      </c>
      <c r="B150" s="18">
        <v>8</v>
      </c>
      <c r="C150" s="18">
        <v>7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9">
        <v>15</v>
      </c>
    </row>
    <row r="151" spans="1:11" ht="14" x14ac:dyDescent="0.3">
      <c r="A151" s="27"/>
      <c r="B151" s="18">
        <v>0</v>
      </c>
      <c r="C151" s="18">
        <v>0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9">
        <v>0</v>
      </c>
    </row>
    <row r="152" spans="1:11" ht="14" x14ac:dyDescent="0.3">
      <c r="A152" s="27" t="s">
        <v>29</v>
      </c>
      <c r="B152" s="18">
        <v>27</v>
      </c>
      <c r="C152" s="18">
        <v>22</v>
      </c>
      <c r="D152" s="18">
        <v>1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9">
        <v>50</v>
      </c>
    </row>
    <row r="153" spans="1:11" ht="14" x14ac:dyDescent="0.3">
      <c r="A153" s="27"/>
      <c r="B153" s="18">
        <v>0</v>
      </c>
      <c r="C153" s="18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0</v>
      </c>
      <c r="K153" s="19">
        <v>0</v>
      </c>
    </row>
    <row r="154" spans="1:11" ht="14" x14ac:dyDescent="0.3">
      <c r="A154" s="27" t="s">
        <v>30</v>
      </c>
      <c r="B154" s="18">
        <v>29</v>
      </c>
      <c r="C154" s="18">
        <v>45</v>
      </c>
      <c r="D154" s="18">
        <v>2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9">
        <v>76</v>
      </c>
    </row>
    <row r="155" spans="1:11" ht="14" x14ac:dyDescent="0.3">
      <c r="A155" s="27"/>
      <c r="B155" s="18">
        <v>0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9">
        <v>0</v>
      </c>
    </row>
    <row r="156" spans="1:11" ht="14" x14ac:dyDescent="0.3">
      <c r="A156" s="27" t="s">
        <v>31</v>
      </c>
      <c r="B156" s="18">
        <v>19</v>
      </c>
      <c r="C156" s="18">
        <v>12</v>
      </c>
      <c r="D156" s="18">
        <v>1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0</v>
      </c>
      <c r="K156" s="19">
        <v>32</v>
      </c>
    </row>
    <row r="157" spans="1:11" ht="14" x14ac:dyDescent="0.3">
      <c r="A157" s="27"/>
      <c r="B157" s="18">
        <v>0</v>
      </c>
      <c r="C157" s="18">
        <v>0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9">
        <v>0</v>
      </c>
    </row>
    <row r="158" spans="1:11" ht="14" x14ac:dyDescent="0.3">
      <c r="A158" s="27" t="s">
        <v>32</v>
      </c>
      <c r="B158" s="18">
        <v>10</v>
      </c>
      <c r="C158" s="18">
        <v>8</v>
      </c>
      <c r="D158" s="18">
        <v>0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9">
        <v>18</v>
      </c>
    </row>
    <row r="159" spans="1:11" ht="14" x14ac:dyDescent="0.3">
      <c r="A159" s="27"/>
      <c r="B159" s="18">
        <v>0</v>
      </c>
      <c r="C159" s="18">
        <v>0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9">
        <v>0</v>
      </c>
    </row>
    <row r="160" spans="1:11" ht="14" x14ac:dyDescent="0.3">
      <c r="A160" s="27" t="s">
        <v>33</v>
      </c>
      <c r="B160" s="18">
        <v>5</v>
      </c>
      <c r="C160" s="18">
        <v>2</v>
      </c>
      <c r="D160" s="18">
        <v>1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9">
        <v>8</v>
      </c>
    </row>
    <row r="161" spans="1:11" ht="14" x14ac:dyDescent="0.3">
      <c r="A161" s="27"/>
      <c r="B161" s="18">
        <v>0</v>
      </c>
      <c r="C161" s="18">
        <v>0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9">
        <v>0</v>
      </c>
    </row>
    <row r="162" spans="1:11" ht="14" x14ac:dyDescent="0.3">
      <c r="A162" s="27" t="s">
        <v>34</v>
      </c>
      <c r="B162" s="18">
        <v>9</v>
      </c>
      <c r="C162" s="18">
        <v>4</v>
      </c>
      <c r="D162" s="18">
        <v>0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0</v>
      </c>
      <c r="K162" s="19">
        <v>13</v>
      </c>
    </row>
    <row r="163" spans="1:11" ht="14" x14ac:dyDescent="0.3">
      <c r="A163" s="27"/>
      <c r="B163" s="18">
        <v>0</v>
      </c>
      <c r="C163" s="18">
        <v>0</v>
      </c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0</v>
      </c>
      <c r="K163" s="19">
        <v>0</v>
      </c>
    </row>
    <row r="164" spans="1:11" ht="14" x14ac:dyDescent="0.3">
      <c r="A164" s="27" t="s">
        <v>35</v>
      </c>
      <c r="B164" s="18">
        <v>18</v>
      </c>
      <c r="C164" s="18">
        <v>19</v>
      </c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9">
        <v>37</v>
      </c>
    </row>
    <row r="165" spans="1:11" ht="12.5" x14ac:dyDescent="0.25">
      <c r="A165" s="15"/>
      <c r="B165" s="14">
        <v>0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</row>
    <row r="166" spans="1:11" ht="12.5" x14ac:dyDescent="0.25">
      <c r="A166" s="63" t="s">
        <v>21</v>
      </c>
      <c r="B166" s="63">
        <v>148</v>
      </c>
      <c r="C166" s="63">
        <v>132</v>
      </c>
      <c r="D166" s="63">
        <v>5</v>
      </c>
      <c r="E166" s="63">
        <v>0</v>
      </c>
      <c r="F166" s="63">
        <v>0</v>
      </c>
      <c r="G166" s="63">
        <v>0</v>
      </c>
      <c r="H166" s="63">
        <v>0</v>
      </c>
      <c r="I166" s="63">
        <v>0</v>
      </c>
      <c r="J166" s="63">
        <v>0</v>
      </c>
      <c r="K166" s="63">
        <v>100</v>
      </c>
    </row>
    <row r="167" spans="1:11" ht="12.5" x14ac:dyDescent="0.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</row>
    <row r="168" spans="1:11" ht="12.5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 spans="1:11" ht="12.5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65" t="s">
        <v>0</v>
      </c>
      <c r="B173" s="66"/>
      <c r="C173" s="66"/>
      <c r="D173" s="66"/>
      <c r="E173" s="66"/>
      <c r="F173" s="2"/>
      <c r="G173" s="2"/>
      <c r="H173" s="2"/>
      <c r="I173" s="2"/>
      <c r="J173" s="2"/>
      <c r="K173" s="2"/>
    </row>
    <row r="174" spans="1:11" ht="14" x14ac:dyDescent="0.3">
      <c r="A174" s="65" t="s">
        <v>1</v>
      </c>
      <c r="B174" s="66"/>
      <c r="C174" s="66"/>
      <c r="D174" s="2"/>
      <c r="E174" s="2"/>
      <c r="F174" s="2"/>
      <c r="G174" s="65" t="s">
        <v>76</v>
      </c>
      <c r="H174" s="66"/>
      <c r="I174" s="66"/>
      <c r="J174" s="1"/>
      <c r="K174" s="2"/>
    </row>
    <row r="175" spans="1:11" ht="14" x14ac:dyDescent="0.3">
      <c r="A175" s="65" t="s">
        <v>3</v>
      </c>
      <c r="B175" s="66"/>
      <c r="C175" s="66"/>
      <c r="D175" s="66"/>
      <c r="E175" s="66"/>
      <c r="F175" s="2"/>
      <c r="G175" s="65" t="s">
        <v>4</v>
      </c>
      <c r="H175" s="66"/>
      <c r="I175" s="66"/>
      <c r="J175" s="66"/>
      <c r="K175" s="2"/>
    </row>
    <row r="176" spans="1:11" ht="14" x14ac:dyDescent="0.3">
      <c r="A176" s="65" t="s">
        <v>5</v>
      </c>
      <c r="B176" s="66"/>
      <c r="C176" s="66"/>
      <c r="D176" s="66"/>
      <c r="E176" s="66"/>
      <c r="F176" s="2"/>
      <c r="G176" s="65" t="s">
        <v>6</v>
      </c>
      <c r="H176" s="66"/>
      <c r="I176" s="66"/>
      <c r="J176" s="6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60" t="s">
        <v>7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2"/>
    </row>
    <row r="179" spans="1:11" ht="14" x14ac:dyDescent="0.3">
      <c r="A179" s="67" t="s">
        <v>8</v>
      </c>
      <c r="B179" s="68"/>
      <c r="C179" s="68"/>
      <c r="D179" s="68"/>
      <c r="E179" s="68"/>
      <c r="F179" s="68"/>
      <c r="G179" s="68"/>
      <c r="H179" s="68"/>
      <c r="I179" s="68"/>
      <c r="J179" s="68"/>
      <c r="K179" s="69"/>
    </row>
    <row r="180" spans="1:11" ht="14" x14ac:dyDescent="0.3">
      <c r="A180" s="4" t="s">
        <v>9</v>
      </c>
      <c r="B180" s="5"/>
      <c r="C180" s="5"/>
      <c r="D180" s="5"/>
      <c r="E180" s="70" t="s">
        <v>10</v>
      </c>
      <c r="F180" s="71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2.5" x14ac:dyDescent="0.25">
      <c r="A182" s="9" t="s">
        <v>22</v>
      </c>
      <c r="B182" s="17">
        <v>0</v>
      </c>
      <c r="C182" s="17">
        <v>0</v>
      </c>
      <c r="D182" s="17">
        <v>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1">
        <v>170</v>
      </c>
    </row>
    <row r="183" spans="1:11" ht="12.5" x14ac:dyDescent="0.25">
      <c r="A183" s="12" t="s">
        <v>23</v>
      </c>
      <c r="B183" s="13">
        <v>0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4">
        <v>0</v>
      </c>
    </row>
    <row r="184" spans="1:11" ht="12.5" x14ac:dyDescent="0.25">
      <c r="A184" s="12"/>
      <c r="B184" s="13">
        <v>0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0</v>
      </c>
    </row>
    <row r="185" spans="1:11" ht="14" x14ac:dyDescent="0.3">
      <c r="A185" s="12" t="s">
        <v>24</v>
      </c>
      <c r="B185" s="13">
        <v>6</v>
      </c>
      <c r="C185" s="13">
        <v>3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9">
        <v>9</v>
      </c>
    </row>
    <row r="186" spans="1:11" ht="14" x14ac:dyDescent="0.3">
      <c r="A186" s="12"/>
      <c r="B186" s="13">
        <v>0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9">
        <v>0</v>
      </c>
    </row>
    <row r="187" spans="1:11" ht="14" x14ac:dyDescent="0.3">
      <c r="A187" s="12" t="s">
        <v>25</v>
      </c>
      <c r="B187" s="13">
        <v>5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9">
        <v>5</v>
      </c>
    </row>
    <row r="188" spans="1:11" ht="14" x14ac:dyDescent="0.3">
      <c r="A188" s="12"/>
      <c r="B188" s="13">
        <v>0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9">
        <v>0</v>
      </c>
    </row>
    <row r="189" spans="1:11" ht="14" x14ac:dyDescent="0.3">
      <c r="A189" s="12" t="s">
        <v>26</v>
      </c>
      <c r="B189" s="13">
        <v>26</v>
      </c>
      <c r="C189" s="13">
        <v>4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9">
        <v>30</v>
      </c>
    </row>
    <row r="190" spans="1:11" ht="14" x14ac:dyDescent="0.3">
      <c r="A190" s="12"/>
      <c r="B190" s="13">
        <v>0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9">
        <v>0</v>
      </c>
    </row>
    <row r="191" spans="1:11" ht="14" x14ac:dyDescent="0.3">
      <c r="A191" s="12" t="s">
        <v>27</v>
      </c>
      <c r="B191" s="13">
        <v>31</v>
      </c>
      <c r="C191" s="13">
        <v>5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9">
        <v>36</v>
      </c>
    </row>
    <row r="192" spans="1:11" ht="14" x14ac:dyDescent="0.3">
      <c r="A192" s="12"/>
      <c r="B192" s="13">
        <v>0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9">
        <v>0</v>
      </c>
    </row>
    <row r="193" spans="1:11" ht="14" x14ac:dyDescent="0.3">
      <c r="A193" s="12" t="s">
        <v>28</v>
      </c>
      <c r="B193" s="13">
        <v>45</v>
      </c>
      <c r="C193" s="13">
        <v>9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 s="19">
        <v>54</v>
      </c>
    </row>
    <row r="194" spans="1:11" ht="14" x14ac:dyDescent="0.3">
      <c r="A194" s="12"/>
      <c r="B194" s="13">
        <v>0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9">
        <v>0</v>
      </c>
    </row>
    <row r="195" spans="1:11" ht="14" x14ac:dyDescent="0.3">
      <c r="A195" s="12" t="s">
        <v>29</v>
      </c>
      <c r="B195" s="13">
        <v>103</v>
      </c>
      <c r="C195" s="13">
        <v>57</v>
      </c>
      <c r="D195" s="13">
        <v>4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9">
        <v>164</v>
      </c>
    </row>
    <row r="196" spans="1:11" ht="14" x14ac:dyDescent="0.3">
      <c r="A196" s="12"/>
      <c r="B196" s="13">
        <v>0</v>
      </c>
      <c r="C196" s="13">
        <v>0</v>
      </c>
      <c r="D196" s="13">
        <v>0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9">
        <v>0</v>
      </c>
    </row>
    <row r="197" spans="1:11" ht="14" x14ac:dyDescent="0.3">
      <c r="A197" s="12" t="s">
        <v>30</v>
      </c>
      <c r="B197" s="13">
        <v>50</v>
      </c>
      <c r="C197" s="13">
        <v>47</v>
      </c>
      <c r="D197" s="13">
        <v>2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9">
        <v>99</v>
      </c>
    </row>
    <row r="198" spans="1:11" ht="14" x14ac:dyDescent="0.3">
      <c r="A198" s="12"/>
      <c r="B198" s="13">
        <v>0</v>
      </c>
      <c r="C198" s="13">
        <v>0</v>
      </c>
      <c r="D198" s="13">
        <v>0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9">
        <v>0</v>
      </c>
    </row>
    <row r="199" spans="1:11" ht="14" x14ac:dyDescent="0.3">
      <c r="A199" s="12" t="s">
        <v>31</v>
      </c>
      <c r="B199" s="13">
        <v>36</v>
      </c>
      <c r="C199" s="13">
        <v>21</v>
      </c>
      <c r="D199" s="13">
        <v>1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9">
        <v>58</v>
      </c>
    </row>
    <row r="200" spans="1:11" ht="14" x14ac:dyDescent="0.3">
      <c r="A200" s="12"/>
      <c r="B200" s="13">
        <v>0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9">
        <v>0</v>
      </c>
    </row>
    <row r="201" spans="1:11" ht="14" x14ac:dyDescent="0.3">
      <c r="A201" s="12" t="s">
        <v>32</v>
      </c>
      <c r="B201" s="13">
        <v>23</v>
      </c>
      <c r="C201" s="13">
        <v>3</v>
      </c>
      <c r="D201" s="13">
        <v>1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9">
        <v>27</v>
      </c>
    </row>
    <row r="202" spans="1:11" ht="14" x14ac:dyDescent="0.3">
      <c r="A202" s="12"/>
      <c r="B202" s="13">
        <v>0</v>
      </c>
      <c r="C202" s="13">
        <v>0</v>
      </c>
      <c r="D202" s="13">
        <v>0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9">
        <v>0</v>
      </c>
    </row>
    <row r="203" spans="1:11" ht="15.75" customHeight="1" x14ac:dyDescent="0.3">
      <c r="A203" s="12" t="s">
        <v>33</v>
      </c>
      <c r="B203" s="13">
        <v>15</v>
      </c>
      <c r="C203" s="13">
        <v>8</v>
      </c>
      <c r="D203" s="13">
        <v>2</v>
      </c>
      <c r="E203" s="13">
        <v>1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9">
        <v>26</v>
      </c>
    </row>
    <row r="204" spans="1:11" ht="15.75" customHeight="1" x14ac:dyDescent="0.3">
      <c r="A204" s="12"/>
      <c r="B204" s="13">
        <v>0</v>
      </c>
      <c r="C204" s="13">
        <v>0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9">
        <v>0</v>
      </c>
    </row>
    <row r="205" spans="1:11" ht="15.75" customHeight="1" x14ac:dyDescent="0.3">
      <c r="A205" s="12" t="s">
        <v>34</v>
      </c>
      <c r="B205" s="13">
        <v>26</v>
      </c>
      <c r="C205" s="13">
        <v>10</v>
      </c>
      <c r="D205" s="13">
        <v>2</v>
      </c>
      <c r="E205" s="13">
        <v>0</v>
      </c>
      <c r="F205" s="13">
        <v>0</v>
      </c>
      <c r="G205" s="13">
        <v>0</v>
      </c>
      <c r="H205" s="13">
        <v>0</v>
      </c>
      <c r="I205" s="13">
        <v>0</v>
      </c>
      <c r="J205" s="13">
        <v>0</v>
      </c>
      <c r="K205" s="19">
        <v>38</v>
      </c>
    </row>
    <row r="206" spans="1:11" ht="15.75" customHeight="1" x14ac:dyDescent="0.3">
      <c r="A206" s="12"/>
      <c r="B206" s="13">
        <v>0</v>
      </c>
      <c r="C206" s="13">
        <v>0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9">
        <v>0</v>
      </c>
    </row>
    <row r="207" spans="1:11" ht="15.75" customHeight="1" x14ac:dyDescent="0.3">
      <c r="A207" s="12" t="s">
        <v>35</v>
      </c>
      <c r="B207" s="13">
        <v>25</v>
      </c>
      <c r="C207" s="13">
        <v>11</v>
      </c>
      <c r="D207" s="13">
        <v>2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9">
        <v>38</v>
      </c>
    </row>
    <row r="208" spans="1:11" ht="15.75" customHeight="1" x14ac:dyDescent="0.25">
      <c r="A208" s="15"/>
      <c r="B208" s="14">
        <v>0</v>
      </c>
      <c r="C208" s="14">
        <v>0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</row>
    <row r="209" spans="1:11" ht="15.75" customHeight="1" x14ac:dyDescent="0.25">
      <c r="A209" s="63" t="s">
        <v>21</v>
      </c>
      <c r="B209" s="63">
        <v>391</v>
      </c>
      <c r="C209" s="63">
        <v>178</v>
      </c>
      <c r="D209" s="63">
        <v>14</v>
      </c>
      <c r="E209" s="63">
        <v>1</v>
      </c>
      <c r="F209" s="63">
        <v>0</v>
      </c>
      <c r="G209" s="63">
        <v>0</v>
      </c>
      <c r="H209" s="63">
        <v>0</v>
      </c>
      <c r="I209" s="63">
        <v>0</v>
      </c>
      <c r="J209" s="63">
        <v>0</v>
      </c>
      <c r="K209" s="63">
        <v>754</v>
      </c>
    </row>
    <row r="210" spans="1:11" ht="15.75" customHeight="1" x14ac:dyDescent="0.2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</row>
    <row r="211" spans="1:11" ht="15.75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</row>
    <row r="212" spans="1:11" ht="15.75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65" t="s">
        <v>0</v>
      </c>
      <c r="B216" s="66"/>
      <c r="C216" s="66"/>
      <c r="D216" s="66"/>
      <c r="E216" s="66"/>
      <c r="F216" s="2"/>
      <c r="G216" s="2"/>
      <c r="H216" s="2"/>
      <c r="I216" s="2"/>
      <c r="J216" s="2"/>
      <c r="K216" s="2"/>
    </row>
    <row r="217" spans="1:11" ht="15.75" customHeight="1" x14ac:dyDescent="0.3">
      <c r="A217" s="65" t="s">
        <v>1</v>
      </c>
      <c r="B217" s="66"/>
      <c r="C217" s="66"/>
      <c r="D217" s="2"/>
      <c r="E217" s="2"/>
      <c r="F217" s="2"/>
      <c r="G217" s="65" t="s">
        <v>121</v>
      </c>
      <c r="H217" s="66"/>
      <c r="I217" s="66"/>
      <c r="J217" s="1"/>
      <c r="K217" s="2"/>
    </row>
    <row r="218" spans="1:11" ht="15.75" customHeight="1" x14ac:dyDescent="0.3">
      <c r="A218" s="65" t="s">
        <v>3</v>
      </c>
      <c r="B218" s="66"/>
      <c r="C218" s="66"/>
      <c r="D218" s="66"/>
      <c r="E218" s="66"/>
      <c r="F218" s="2"/>
      <c r="G218" s="65" t="s">
        <v>4</v>
      </c>
      <c r="H218" s="66"/>
      <c r="I218" s="66"/>
      <c r="J218" s="66"/>
      <c r="K218" s="2"/>
    </row>
    <row r="219" spans="1:11" ht="15.75" customHeight="1" x14ac:dyDescent="0.3">
      <c r="A219" s="65" t="s">
        <v>5</v>
      </c>
      <c r="B219" s="66"/>
      <c r="C219" s="66"/>
      <c r="D219" s="66"/>
      <c r="E219" s="66"/>
      <c r="F219" s="2"/>
      <c r="G219" s="65" t="s">
        <v>6</v>
      </c>
      <c r="H219" s="66"/>
      <c r="I219" s="66"/>
      <c r="J219" s="6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60" t="s">
        <v>7</v>
      </c>
      <c r="B221" s="61"/>
      <c r="C221" s="61"/>
      <c r="D221" s="61"/>
      <c r="E221" s="61"/>
      <c r="F221" s="61"/>
      <c r="G221" s="61"/>
      <c r="H221" s="61"/>
      <c r="I221" s="61"/>
      <c r="J221" s="61"/>
      <c r="K221" s="62"/>
    </row>
    <row r="222" spans="1:11" ht="15.75" customHeight="1" x14ac:dyDescent="0.3">
      <c r="A222" s="67" t="s">
        <v>8</v>
      </c>
      <c r="B222" s="68"/>
      <c r="C222" s="68"/>
      <c r="D222" s="68"/>
      <c r="E222" s="68"/>
      <c r="F222" s="68"/>
      <c r="G222" s="68"/>
      <c r="H222" s="68"/>
      <c r="I222" s="68"/>
      <c r="J222" s="68"/>
      <c r="K222" s="69"/>
    </row>
    <row r="223" spans="1:11" ht="15.75" customHeight="1" x14ac:dyDescent="0.3">
      <c r="A223" s="4" t="s">
        <v>9</v>
      </c>
      <c r="B223" s="5"/>
      <c r="C223" s="5"/>
      <c r="D223" s="5"/>
      <c r="E223" s="70" t="s">
        <v>10</v>
      </c>
      <c r="F223" s="71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25">
      <c r="A225" s="9" t="s">
        <v>22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1">
        <f>(K10+K53+K96+K139+K182)/5</f>
        <v>-135.4</v>
      </c>
    </row>
    <row r="226" spans="1:11" ht="15.75" customHeight="1" x14ac:dyDescent="0.25">
      <c r="A226" s="12" t="s">
        <v>23</v>
      </c>
      <c r="B226" s="13"/>
      <c r="C226" s="13"/>
      <c r="D226" s="13"/>
      <c r="E226" s="13"/>
      <c r="F226" s="13"/>
      <c r="G226" s="13"/>
      <c r="H226" s="13"/>
      <c r="I226" s="13"/>
      <c r="J226" s="13"/>
      <c r="K226" s="11">
        <f t="shared" ref="K226:K250" si="0">(K11+K54+K97+K140+K183)/5</f>
        <v>0</v>
      </c>
    </row>
    <row r="227" spans="1:11" ht="15.75" customHeight="1" x14ac:dyDescent="0.25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1">
        <f t="shared" si="0"/>
        <v>0</v>
      </c>
    </row>
    <row r="228" spans="1:11" ht="15.75" customHeight="1" x14ac:dyDescent="0.25">
      <c r="A228" s="12" t="s">
        <v>24</v>
      </c>
      <c r="B228" s="13">
        <f>(B13+B56+B99+B142+B185)/5</f>
        <v>3.4</v>
      </c>
      <c r="C228" s="13">
        <f t="shared" ref="C228:J228" si="1">(C13+C56+C99+C142+C185)/5</f>
        <v>3</v>
      </c>
      <c r="D228" s="13">
        <f t="shared" si="1"/>
        <v>0.2</v>
      </c>
      <c r="E228" s="13">
        <f t="shared" si="1"/>
        <v>0</v>
      </c>
      <c r="F228" s="13">
        <f t="shared" si="1"/>
        <v>0</v>
      </c>
      <c r="G228" s="13">
        <f t="shared" si="1"/>
        <v>0</v>
      </c>
      <c r="H228" s="13">
        <f t="shared" si="1"/>
        <v>0</v>
      </c>
      <c r="I228" s="13">
        <f t="shared" si="1"/>
        <v>0</v>
      </c>
      <c r="J228" s="13">
        <f t="shared" si="1"/>
        <v>0</v>
      </c>
      <c r="K228" s="11">
        <f t="shared" si="0"/>
        <v>6.6</v>
      </c>
    </row>
    <row r="229" spans="1:11" ht="15.75" customHeight="1" x14ac:dyDescent="0.25">
      <c r="A229" s="12"/>
      <c r="B229" s="13">
        <f t="shared" ref="B229:J250" si="2">(B14+B57+B100+B143+B186)/5</f>
        <v>0</v>
      </c>
      <c r="C229" s="13">
        <f t="shared" si="2"/>
        <v>0</v>
      </c>
      <c r="D229" s="13">
        <f t="shared" si="2"/>
        <v>0</v>
      </c>
      <c r="E229" s="13">
        <f t="shared" si="2"/>
        <v>0</v>
      </c>
      <c r="F229" s="13">
        <f t="shared" si="2"/>
        <v>0</v>
      </c>
      <c r="G229" s="13">
        <f t="shared" si="2"/>
        <v>0</v>
      </c>
      <c r="H229" s="13">
        <f t="shared" si="2"/>
        <v>0</v>
      </c>
      <c r="I229" s="13">
        <f t="shared" si="2"/>
        <v>0</v>
      </c>
      <c r="J229" s="13">
        <f t="shared" si="2"/>
        <v>0</v>
      </c>
      <c r="K229" s="11">
        <f t="shared" si="0"/>
        <v>0</v>
      </c>
    </row>
    <row r="230" spans="1:11" ht="15.75" customHeight="1" x14ac:dyDescent="0.25">
      <c r="A230" s="12" t="s">
        <v>25</v>
      </c>
      <c r="B230" s="13">
        <f t="shared" si="2"/>
        <v>4</v>
      </c>
      <c r="C230" s="13">
        <f t="shared" si="2"/>
        <v>2.4</v>
      </c>
      <c r="D230" s="13">
        <f t="shared" si="2"/>
        <v>0.2</v>
      </c>
      <c r="E230" s="13">
        <f t="shared" si="2"/>
        <v>0</v>
      </c>
      <c r="F230" s="13">
        <f t="shared" si="2"/>
        <v>0</v>
      </c>
      <c r="G230" s="13">
        <f t="shared" si="2"/>
        <v>0</v>
      </c>
      <c r="H230" s="13">
        <f t="shared" si="2"/>
        <v>0</v>
      </c>
      <c r="I230" s="13">
        <f t="shared" si="2"/>
        <v>0</v>
      </c>
      <c r="J230" s="13">
        <f t="shared" si="2"/>
        <v>0</v>
      </c>
      <c r="K230" s="11">
        <f t="shared" si="0"/>
        <v>6.6</v>
      </c>
    </row>
    <row r="231" spans="1:11" ht="15.75" customHeight="1" x14ac:dyDescent="0.25">
      <c r="A231" s="12"/>
      <c r="B231" s="13">
        <f t="shared" si="2"/>
        <v>0</v>
      </c>
      <c r="C231" s="13">
        <f t="shared" si="2"/>
        <v>0</v>
      </c>
      <c r="D231" s="13">
        <f t="shared" si="2"/>
        <v>0</v>
      </c>
      <c r="E231" s="13">
        <f t="shared" si="2"/>
        <v>0</v>
      </c>
      <c r="F231" s="13">
        <f t="shared" si="2"/>
        <v>0</v>
      </c>
      <c r="G231" s="13">
        <f t="shared" si="2"/>
        <v>0</v>
      </c>
      <c r="H231" s="13">
        <f t="shared" si="2"/>
        <v>0</v>
      </c>
      <c r="I231" s="13">
        <f t="shared" si="2"/>
        <v>0</v>
      </c>
      <c r="J231" s="13">
        <f t="shared" si="2"/>
        <v>0</v>
      </c>
      <c r="K231" s="11">
        <f t="shared" si="0"/>
        <v>0</v>
      </c>
    </row>
    <row r="232" spans="1:11" ht="15.75" customHeight="1" x14ac:dyDescent="0.25">
      <c r="A232" s="12" t="s">
        <v>26</v>
      </c>
      <c r="B232" s="13">
        <f t="shared" si="2"/>
        <v>11.2</v>
      </c>
      <c r="C232" s="13">
        <f t="shared" si="2"/>
        <v>3.2</v>
      </c>
      <c r="D232" s="13">
        <f t="shared" si="2"/>
        <v>0</v>
      </c>
      <c r="E232" s="13">
        <f t="shared" si="2"/>
        <v>0</v>
      </c>
      <c r="F232" s="13">
        <f t="shared" si="2"/>
        <v>0</v>
      </c>
      <c r="G232" s="13">
        <f t="shared" si="2"/>
        <v>0</v>
      </c>
      <c r="H232" s="13">
        <f t="shared" si="2"/>
        <v>0</v>
      </c>
      <c r="I232" s="13">
        <f t="shared" si="2"/>
        <v>0</v>
      </c>
      <c r="J232" s="13">
        <f t="shared" si="2"/>
        <v>0</v>
      </c>
      <c r="K232" s="11">
        <f t="shared" si="0"/>
        <v>14.4</v>
      </c>
    </row>
    <row r="233" spans="1:11" ht="15.75" customHeight="1" x14ac:dyDescent="0.25">
      <c r="A233" s="12"/>
      <c r="B233" s="13">
        <f t="shared" si="2"/>
        <v>0</v>
      </c>
      <c r="C233" s="13">
        <f t="shared" si="2"/>
        <v>0</v>
      </c>
      <c r="D233" s="13">
        <f t="shared" si="2"/>
        <v>0</v>
      </c>
      <c r="E233" s="13">
        <f t="shared" si="2"/>
        <v>0</v>
      </c>
      <c r="F233" s="13">
        <f t="shared" si="2"/>
        <v>0</v>
      </c>
      <c r="G233" s="13">
        <f t="shared" si="2"/>
        <v>0</v>
      </c>
      <c r="H233" s="13">
        <f t="shared" si="2"/>
        <v>0</v>
      </c>
      <c r="I233" s="13">
        <f t="shared" si="2"/>
        <v>0</v>
      </c>
      <c r="J233" s="13">
        <f t="shared" si="2"/>
        <v>0</v>
      </c>
      <c r="K233" s="11">
        <f t="shared" si="0"/>
        <v>0</v>
      </c>
    </row>
    <row r="234" spans="1:11" ht="15.75" customHeight="1" x14ac:dyDescent="0.25">
      <c r="A234" s="12" t="s">
        <v>27</v>
      </c>
      <c r="B234" s="13">
        <f t="shared" si="2"/>
        <v>11.4</v>
      </c>
      <c r="C234" s="13">
        <f t="shared" si="2"/>
        <v>3.6</v>
      </c>
      <c r="D234" s="13">
        <f t="shared" si="2"/>
        <v>0</v>
      </c>
      <c r="E234" s="13">
        <f t="shared" si="2"/>
        <v>0</v>
      </c>
      <c r="F234" s="13">
        <f t="shared" si="2"/>
        <v>0</v>
      </c>
      <c r="G234" s="13">
        <f t="shared" si="2"/>
        <v>0</v>
      </c>
      <c r="H234" s="13">
        <f t="shared" si="2"/>
        <v>0</v>
      </c>
      <c r="I234" s="13">
        <f t="shared" si="2"/>
        <v>0</v>
      </c>
      <c r="J234" s="13">
        <f t="shared" si="2"/>
        <v>0</v>
      </c>
      <c r="K234" s="11">
        <f t="shared" si="0"/>
        <v>15</v>
      </c>
    </row>
    <row r="235" spans="1:11" ht="15.75" customHeight="1" x14ac:dyDescent="0.25">
      <c r="A235" s="12"/>
      <c r="B235" s="13">
        <f t="shared" si="2"/>
        <v>0</v>
      </c>
      <c r="C235" s="13">
        <f t="shared" si="2"/>
        <v>0</v>
      </c>
      <c r="D235" s="13">
        <f t="shared" si="2"/>
        <v>0</v>
      </c>
      <c r="E235" s="13">
        <f t="shared" si="2"/>
        <v>0</v>
      </c>
      <c r="F235" s="13">
        <f t="shared" si="2"/>
        <v>0</v>
      </c>
      <c r="G235" s="13">
        <f t="shared" si="2"/>
        <v>0</v>
      </c>
      <c r="H235" s="13">
        <f t="shared" si="2"/>
        <v>0</v>
      </c>
      <c r="I235" s="13">
        <f t="shared" si="2"/>
        <v>0</v>
      </c>
      <c r="J235" s="13">
        <f t="shared" si="2"/>
        <v>0</v>
      </c>
      <c r="K235" s="11">
        <f t="shared" si="0"/>
        <v>0</v>
      </c>
    </row>
    <row r="236" spans="1:11" ht="15.75" customHeight="1" x14ac:dyDescent="0.25">
      <c r="A236" s="12" t="s">
        <v>28</v>
      </c>
      <c r="B236" s="13">
        <f t="shared" si="2"/>
        <v>18.8</v>
      </c>
      <c r="C236" s="13">
        <f t="shared" si="2"/>
        <v>12</v>
      </c>
      <c r="D236" s="13">
        <f t="shared" si="2"/>
        <v>1</v>
      </c>
      <c r="E236" s="13">
        <f t="shared" si="2"/>
        <v>0</v>
      </c>
      <c r="F236" s="13">
        <f t="shared" si="2"/>
        <v>0</v>
      </c>
      <c r="G236" s="13">
        <f t="shared" si="2"/>
        <v>0</v>
      </c>
      <c r="H236" s="13">
        <f t="shared" si="2"/>
        <v>0</v>
      </c>
      <c r="I236" s="13">
        <f t="shared" si="2"/>
        <v>0</v>
      </c>
      <c r="J236" s="13">
        <f t="shared" si="2"/>
        <v>0</v>
      </c>
      <c r="K236" s="11">
        <f t="shared" si="0"/>
        <v>31.8</v>
      </c>
    </row>
    <row r="237" spans="1:11" ht="15.75" customHeight="1" x14ac:dyDescent="0.25">
      <c r="A237" s="12"/>
      <c r="B237" s="13">
        <f t="shared" si="2"/>
        <v>0</v>
      </c>
      <c r="C237" s="13">
        <f t="shared" si="2"/>
        <v>0</v>
      </c>
      <c r="D237" s="13">
        <f t="shared" si="2"/>
        <v>0</v>
      </c>
      <c r="E237" s="13">
        <f t="shared" si="2"/>
        <v>0</v>
      </c>
      <c r="F237" s="13">
        <f t="shared" si="2"/>
        <v>0</v>
      </c>
      <c r="G237" s="13">
        <f t="shared" si="2"/>
        <v>0</v>
      </c>
      <c r="H237" s="13">
        <f t="shared" si="2"/>
        <v>0</v>
      </c>
      <c r="I237" s="13">
        <f t="shared" si="2"/>
        <v>0</v>
      </c>
      <c r="J237" s="13">
        <f t="shared" si="2"/>
        <v>0</v>
      </c>
      <c r="K237" s="11">
        <f t="shared" si="0"/>
        <v>0</v>
      </c>
    </row>
    <row r="238" spans="1:11" ht="15.75" customHeight="1" x14ac:dyDescent="0.25">
      <c r="A238" s="12" t="s">
        <v>29</v>
      </c>
      <c r="B238" s="13">
        <f t="shared" si="2"/>
        <v>46</v>
      </c>
      <c r="C238" s="13">
        <f t="shared" si="2"/>
        <v>40.799999999999997</v>
      </c>
      <c r="D238" s="13">
        <f t="shared" si="2"/>
        <v>3</v>
      </c>
      <c r="E238" s="13">
        <f t="shared" si="2"/>
        <v>0.2</v>
      </c>
      <c r="F238" s="13">
        <f t="shared" si="2"/>
        <v>0</v>
      </c>
      <c r="G238" s="13">
        <f t="shared" si="2"/>
        <v>0</v>
      </c>
      <c r="H238" s="13">
        <f t="shared" si="2"/>
        <v>0</v>
      </c>
      <c r="I238" s="13">
        <f t="shared" si="2"/>
        <v>0</v>
      </c>
      <c r="J238" s="13">
        <f t="shared" si="2"/>
        <v>0</v>
      </c>
      <c r="K238" s="11">
        <f t="shared" si="0"/>
        <v>90</v>
      </c>
    </row>
    <row r="239" spans="1:11" ht="15.75" customHeight="1" x14ac:dyDescent="0.25">
      <c r="A239" s="12"/>
      <c r="B239" s="13">
        <f t="shared" si="2"/>
        <v>0</v>
      </c>
      <c r="C239" s="13">
        <f t="shared" si="2"/>
        <v>0</v>
      </c>
      <c r="D239" s="13">
        <f t="shared" si="2"/>
        <v>0</v>
      </c>
      <c r="E239" s="13">
        <f t="shared" si="2"/>
        <v>0</v>
      </c>
      <c r="F239" s="13">
        <f t="shared" si="2"/>
        <v>0</v>
      </c>
      <c r="G239" s="13">
        <f t="shared" si="2"/>
        <v>0</v>
      </c>
      <c r="H239" s="13">
        <f t="shared" si="2"/>
        <v>0</v>
      </c>
      <c r="I239" s="13">
        <f t="shared" si="2"/>
        <v>0</v>
      </c>
      <c r="J239" s="13">
        <f t="shared" si="2"/>
        <v>0</v>
      </c>
      <c r="K239" s="11">
        <f t="shared" si="0"/>
        <v>0</v>
      </c>
    </row>
    <row r="240" spans="1:11" ht="15.75" customHeight="1" x14ac:dyDescent="0.25">
      <c r="A240" s="12" t="s">
        <v>30</v>
      </c>
      <c r="B240" s="13">
        <f t="shared" si="2"/>
        <v>34.4</v>
      </c>
      <c r="C240" s="13">
        <f t="shared" si="2"/>
        <v>49.4</v>
      </c>
      <c r="D240" s="13">
        <f t="shared" si="2"/>
        <v>6.4</v>
      </c>
      <c r="E240" s="13">
        <f t="shared" si="2"/>
        <v>0</v>
      </c>
      <c r="F240" s="13">
        <f t="shared" si="2"/>
        <v>0</v>
      </c>
      <c r="G240" s="13">
        <f t="shared" si="2"/>
        <v>0</v>
      </c>
      <c r="H240" s="13">
        <f t="shared" si="2"/>
        <v>0</v>
      </c>
      <c r="I240" s="13">
        <f t="shared" si="2"/>
        <v>0</v>
      </c>
      <c r="J240" s="13">
        <f t="shared" si="2"/>
        <v>0</v>
      </c>
      <c r="K240" s="11">
        <f t="shared" si="0"/>
        <v>90.2</v>
      </c>
    </row>
    <row r="241" spans="1:11" ht="15.75" customHeight="1" x14ac:dyDescent="0.25">
      <c r="A241" s="12"/>
      <c r="B241" s="13">
        <f t="shared" si="2"/>
        <v>0</v>
      </c>
      <c r="C241" s="13">
        <f t="shared" si="2"/>
        <v>0</v>
      </c>
      <c r="D241" s="13">
        <f t="shared" si="2"/>
        <v>0</v>
      </c>
      <c r="E241" s="13">
        <f t="shared" si="2"/>
        <v>0</v>
      </c>
      <c r="F241" s="13">
        <f t="shared" si="2"/>
        <v>0</v>
      </c>
      <c r="G241" s="13">
        <f t="shared" si="2"/>
        <v>0</v>
      </c>
      <c r="H241" s="13">
        <f t="shared" si="2"/>
        <v>0</v>
      </c>
      <c r="I241" s="13">
        <f t="shared" si="2"/>
        <v>0</v>
      </c>
      <c r="J241" s="13">
        <f t="shared" si="2"/>
        <v>0</v>
      </c>
      <c r="K241" s="11">
        <f t="shared" si="0"/>
        <v>0</v>
      </c>
    </row>
    <row r="242" spans="1:11" ht="15.75" customHeight="1" x14ac:dyDescent="0.25">
      <c r="A242" s="12" t="s">
        <v>31</v>
      </c>
      <c r="B242" s="13">
        <f t="shared" si="2"/>
        <v>23.8</v>
      </c>
      <c r="C242" s="13">
        <f t="shared" si="2"/>
        <v>15.2</v>
      </c>
      <c r="D242" s="13">
        <f t="shared" si="2"/>
        <v>1.6</v>
      </c>
      <c r="E242" s="13">
        <f t="shared" si="2"/>
        <v>0</v>
      </c>
      <c r="F242" s="13">
        <f t="shared" si="2"/>
        <v>0</v>
      </c>
      <c r="G242" s="13">
        <f t="shared" si="2"/>
        <v>0</v>
      </c>
      <c r="H242" s="13">
        <f t="shared" si="2"/>
        <v>0</v>
      </c>
      <c r="I242" s="13">
        <f t="shared" si="2"/>
        <v>0</v>
      </c>
      <c r="J242" s="13">
        <f t="shared" si="2"/>
        <v>0</v>
      </c>
      <c r="K242" s="11">
        <f t="shared" si="0"/>
        <v>40.6</v>
      </c>
    </row>
    <row r="243" spans="1:11" ht="15.75" customHeight="1" x14ac:dyDescent="0.25">
      <c r="A243" s="12"/>
      <c r="B243" s="13">
        <f t="shared" si="2"/>
        <v>0</v>
      </c>
      <c r="C243" s="13">
        <f t="shared" si="2"/>
        <v>0</v>
      </c>
      <c r="D243" s="13">
        <f t="shared" si="2"/>
        <v>0</v>
      </c>
      <c r="E243" s="13">
        <f t="shared" si="2"/>
        <v>0</v>
      </c>
      <c r="F243" s="13">
        <f t="shared" si="2"/>
        <v>0</v>
      </c>
      <c r="G243" s="13">
        <f t="shared" si="2"/>
        <v>0</v>
      </c>
      <c r="H243" s="13">
        <f t="shared" si="2"/>
        <v>0</v>
      </c>
      <c r="I243" s="13">
        <f t="shared" si="2"/>
        <v>0</v>
      </c>
      <c r="J243" s="13">
        <f t="shared" si="2"/>
        <v>0</v>
      </c>
      <c r="K243" s="11">
        <f t="shared" si="0"/>
        <v>0</v>
      </c>
    </row>
    <row r="244" spans="1:11" ht="15.75" customHeight="1" x14ac:dyDescent="0.25">
      <c r="A244" s="12" t="s">
        <v>32</v>
      </c>
      <c r="B244" s="13">
        <f t="shared" si="2"/>
        <v>9.4</v>
      </c>
      <c r="C244" s="13">
        <f t="shared" si="2"/>
        <v>4.4000000000000004</v>
      </c>
      <c r="D244" s="13">
        <f t="shared" si="2"/>
        <v>0.4</v>
      </c>
      <c r="E244" s="13">
        <f t="shared" si="2"/>
        <v>0.2</v>
      </c>
      <c r="F244" s="13">
        <f t="shared" si="2"/>
        <v>0</v>
      </c>
      <c r="G244" s="13">
        <f t="shared" si="2"/>
        <v>0</v>
      </c>
      <c r="H244" s="13">
        <f t="shared" si="2"/>
        <v>0</v>
      </c>
      <c r="I244" s="13">
        <f t="shared" si="2"/>
        <v>0</v>
      </c>
      <c r="J244" s="13">
        <f t="shared" si="2"/>
        <v>0</v>
      </c>
      <c r="K244" s="11">
        <f t="shared" si="0"/>
        <v>14.4</v>
      </c>
    </row>
    <row r="245" spans="1:11" ht="15.75" customHeight="1" x14ac:dyDescent="0.25">
      <c r="A245" s="12"/>
      <c r="B245" s="13">
        <f t="shared" si="2"/>
        <v>0</v>
      </c>
      <c r="C245" s="13">
        <f t="shared" si="2"/>
        <v>0</v>
      </c>
      <c r="D245" s="13">
        <f t="shared" si="2"/>
        <v>0</v>
      </c>
      <c r="E245" s="13">
        <f t="shared" si="2"/>
        <v>0</v>
      </c>
      <c r="F245" s="13">
        <f t="shared" si="2"/>
        <v>0</v>
      </c>
      <c r="G245" s="13">
        <f t="shared" si="2"/>
        <v>0</v>
      </c>
      <c r="H245" s="13">
        <f t="shared" si="2"/>
        <v>0</v>
      </c>
      <c r="I245" s="13">
        <f t="shared" si="2"/>
        <v>0</v>
      </c>
      <c r="J245" s="13">
        <f t="shared" si="2"/>
        <v>0</v>
      </c>
      <c r="K245" s="11">
        <f t="shared" si="0"/>
        <v>0</v>
      </c>
    </row>
    <row r="246" spans="1:11" ht="15.75" customHeight="1" x14ac:dyDescent="0.25">
      <c r="A246" s="12" t="s">
        <v>33</v>
      </c>
      <c r="B246" s="13">
        <f t="shared" si="2"/>
        <v>6.2</v>
      </c>
      <c r="C246" s="13">
        <f t="shared" si="2"/>
        <v>3.2</v>
      </c>
      <c r="D246" s="13">
        <f t="shared" si="2"/>
        <v>1.4</v>
      </c>
      <c r="E246" s="13">
        <f t="shared" si="2"/>
        <v>0.2</v>
      </c>
      <c r="F246" s="13">
        <f t="shared" si="2"/>
        <v>0</v>
      </c>
      <c r="G246" s="13">
        <f t="shared" si="2"/>
        <v>0</v>
      </c>
      <c r="H246" s="13">
        <f t="shared" si="2"/>
        <v>0</v>
      </c>
      <c r="I246" s="13">
        <f t="shared" si="2"/>
        <v>0</v>
      </c>
      <c r="J246" s="13">
        <f t="shared" si="2"/>
        <v>0</v>
      </c>
      <c r="K246" s="11">
        <f t="shared" si="0"/>
        <v>11</v>
      </c>
    </row>
    <row r="247" spans="1:11" ht="15.75" customHeight="1" x14ac:dyDescent="0.25">
      <c r="A247" s="12"/>
      <c r="B247" s="13">
        <f t="shared" si="2"/>
        <v>0</v>
      </c>
      <c r="C247" s="13">
        <f t="shared" si="2"/>
        <v>0</v>
      </c>
      <c r="D247" s="13">
        <f t="shared" si="2"/>
        <v>0</v>
      </c>
      <c r="E247" s="13">
        <f t="shared" si="2"/>
        <v>0</v>
      </c>
      <c r="F247" s="13">
        <f t="shared" si="2"/>
        <v>0</v>
      </c>
      <c r="G247" s="13">
        <f t="shared" si="2"/>
        <v>0</v>
      </c>
      <c r="H247" s="13">
        <f t="shared" si="2"/>
        <v>0</v>
      </c>
      <c r="I247" s="13">
        <f t="shared" si="2"/>
        <v>0</v>
      </c>
      <c r="J247" s="13">
        <f t="shared" si="2"/>
        <v>0</v>
      </c>
      <c r="K247" s="11">
        <f t="shared" si="0"/>
        <v>0</v>
      </c>
    </row>
    <row r="248" spans="1:11" ht="15.75" customHeight="1" x14ac:dyDescent="0.25">
      <c r="A248" s="12" t="s">
        <v>34</v>
      </c>
      <c r="B248" s="13">
        <f t="shared" si="2"/>
        <v>11.2</v>
      </c>
      <c r="C248" s="13">
        <f t="shared" si="2"/>
        <v>5</v>
      </c>
      <c r="D248" s="13">
        <f t="shared" si="2"/>
        <v>0.8</v>
      </c>
      <c r="E248" s="13">
        <f t="shared" si="2"/>
        <v>0</v>
      </c>
      <c r="F248" s="13">
        <f t="shared" si="2"/>
        <v>0</v>
      </c>
      <c r="G248" s="13">
        <f t="shared" si="2"/>
        <v>0</v>
      </c>
      <c r="H248" s="13">
        <f t="shared" si="2"/>
        <v>0</v>
      </c>
      <c r="I248" s="13">
        <f t="shared" si="2"/>
        <v>0</v>
      </c>
      <c r="J248" s="13">
        <f t="shared" si="2"/>
        <v>0</v>
      </c>
      <c r="K248" s="11">
        <f t="shared" si="0"/>
        <v>17</v>
      </c>
    </row>
    <row r="249" spans="1:11" ht="15.75" customHeight="1" x14ac:dyDescent="0.25">
      <c r="A249" s="12"/>
      <c r="B249" s="13">
        <f t="shared" si="2"/>
        <v>0</v>
      </c>
      <c r="C249" s="13">
        <f t="shared" si="2"/>
        <v>0</v>
      </c>
      <c r="D249" s="13">
        <f t="shared" si="2"/>
        <v>0</v>
      </c>
      <c r="E249" s="13">
        <f t="shared" si="2"/>
        <v>0</v>
      </c>
      <c r="F249" s="13">
        <f t="shared" si="2"/>
        <v>0</v>
      </c>
      <c r="G249" s="13">
        <f t="shared" si="2"/>
        <v>0</v>
      </c>
      <c r="H249" s="13">
        <f t="shared" si="2"/>
        <v>0</v>
      </c>
      <c r="I249" s="13">
        <f t="shared" si="2"/>
        <v>0</v>
      </c>
      <c r="J249" s="13">
        <f t="shared" si="2"/>
        <v>0</v>
      </c>
      <c r="K249" s="11">
        <f t="shared" si="0"/>
        <v>0</v>
      </c>
    </row>
    <row r="250" spans="1:11" ht="15.75" customHeight="1" x14ac:dyDescent="0.25">
      <c r="A250" s="12" t="s">
        <v>35</v>
      </c>
      <c r="B250" s="13">
        <f t="shared" si="2"/>
        <v>14.8</v>
      </c>
      <c r="C250" s="13">
        <f t="shared" si="2"/>
        <v>13.2</v>
      </c>
      <c r="D250" s="13">
        <f t="shared" si="2"/>
        <v>0.6</v>
      </c>
      <c r="E250" s="13">
        <f t="shared" si="2"/>
        <v>0</v>
      </c>
      <c r="F250" s="13">
        <f t="shared" si="2"/>
        <v>0</v>
      </c>
      <c r="G250" s="13">
        <f t="shared" si="2"/>
        <v>0</v>
      </c>
      <c r="H250" s="13">
        <f t="shared" si="2"/>
        <v>0</v>
      </c>
      <c r="I250" s="13">
        <f t="shared" si="2"/>
        <v>0</v>
      </c>
      <c r="J250" s="13">
        <f t="shared" si="2"/>
        <v>0</v>
      </c>
      <c r="K250" s="11">
        <f t="shared" si="0"/>
        <v>28.6</v>
      </c>
    </row>
    <row r="251" spans="1:11" ht="15.75" customHeight="1" x14ac:dyDescent="0.25">
      <c r="A251" s="15"/>
      <c r="B251" s="14"/>
      <c r="C251" s="14"/>
      <c r="D251" s="14"/>
      <c r="E251" s="14"/>
      <c r="F251" s="14"/>
      <c r="G251" s="14"/>
      <c r="H251" s="14"/>
      <c r="I251" s="14"/>
      <c r="J251" s="14"/>
      <c r="K251" s="14"/>
    </row>
    <row r="252" spans="1:11" ht="15.75" customHeight="1" x14ac:dyDescent="0.25">
      <c r="A252" s="63" t="s">
        <v>21</v>
      </c>
      <c r="B252" s="63">
        <f>SUM(B228:B250)</f>
        <v>194.6</v>
      </c>
      <c r="C252" s="63">
        <f t="shared" ref="C252:J252" si="3">SUM(C228:C250)</f>
        <v>155.39999999999998</v>
      </c>
      <c r="D252" s="63">
        <f t="shared" si="3"/>
        <v>15.600000000000001</v>
      </c>
      <c r="E252" s="63">
        <f t="shared" si="3"/>
        <v>0.60000000000000009</v>
      </c>
      <c r="F252" s="63">
        <f t="shared" si="3"/>
        <v>0</v>
      </c>
      <c r="G252" s="63">
        <f t="shared" si="3"/>
        <v>0</v>
      </c>
      <c r="H252" s="63">
        <f t="shared" si="3"/>
        <v>0</v>
      </c>
      <c r="I252" s="63">
        <f t="shared" si="3"/>
        <v>0</v>
      </c>
      <c r="J252" s="63">
        <f t="shared" si="3"/>
        <v>0</v>
      </c>
      <c r="K252" s="63">
        <f>SUM(K225:K251)</f>
        <v>230.79999999999998</v>
      </c>
    </row>
    <row r="253" spans="1:11" ht="15.75" customHeight="1" x14ac:dyDescent="0.2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</row>
  </sheetData>
  <mergeCells count="126">
    <mergeCell ref="A218:E218"/>
    <mergeCell ref="G218:J218"/>
    <mergeCell ref="A219:E219"/>
    <mergeCell ref="G219:J219"/>
    <mergeCell ref="A221:K221"/>
    <mergeCell ref="A222:K222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A50:K50"/>
    <mergeCell ref="E51:F51"/>
    <mergeCell ref="A80:A81"/>
    <mergeCell ref="B80:B81"/>
    <mergeCell ref="C80:C81"/>
    <mergeCell ref="D80:D81"/>
    <mergeCell ref="E80:E81"/>
    <mergeCell ref="A216:E216"/>
    <mergeCell ref="A217:C217"/>
    <mergeCell ref="G217:I217"/>
    <mergeCell ref="A93:K93"/>
    <mergeCell ref="E94:F94"/>
    <mergeCell ref="F80:F81"/>
    <mergeCell ref="G80:G81"/>
    <mergeCell ref="A87:E87"/>
    <mergeCell ref="A88:C88"/>
    <mergeCell ref="G88:I88"/>
    <mergeCell ref="A89:E89"/>
    <mergeCell ref="A90:E90"/>
    <mergeCell ref="J80:J81"/>
    <mergeCell ref="K80:K81"/>
    <mergeCell ref="G166:G167"/>
    <mergeCell ref="H166:H167"/>
    <mergeCell ref="G174:I174"/>
    <mergeCell ref="G175:J175"/>
    <mergeCell ref="G176:J176"/>
    <mergeCell ref="I166:I167"/>
    <mergeCell ref="J166:J167"/>
    <mergeCell ref="A135:K135"/>
    <mergeCell ref="A136:K136"/>
    <mergeCell ref="E137:F137"/>
    <mergeCell ref="A166:A167"/>
    <mergeCell ref="B166:B167"/>
    <mergeCell ref="C166:C167"/>
    <mergeCell ref="D166:D167"/>
    <mergeCell ref="K166:K167"/>
    <mergeCell ref="E166:E167"/>
    <mergeCell ref="F166:F167"/>
    <mergeCell ref="A173:E173"/>
    <mergeCell ref="A174:C174"/>
    <mergeCell ref="A175:E175"/>
    <mergeCell ref="A176:E176"/>
    <mergeCell ref="A178:K178"/>
    <mergeCell ref="F209:F210"/>
    <mergeCell ref="G209:G210"/>
    <mergeCell ref="H209:H210"/>
    <mergeCell ref="I209:I210"/>
    <mergeCell ref="J209:J210"/>
    <mergeCell ref="K209:K210"/>
    <mergeCell ref="A179:K179"/>
    <mergeCell ref="E180:F180"/>
    <mergeCell ref="A209:A210"/>
    <mergeCell ref="B209:B210"/>
    <mergeCell ref="C209:C210"/>
    <mergeCell ref="D209:D210"/>
    <mergeCell ref="E209:E210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G45:I45"/>
    <mergeCell ref="G46:J46"/>
    <mergeCell ref="G47:J47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4:E44"/>
    <mergeCell ref="A45:C45"/>
    <mergeCell ref="A46:E46"/>
    <mergeCell ref="A47:E47"/>
    <mergeCell ref="A49:K49"/>
    <mergeCell ref="H80:H81"/>
    <mergeCell ref="I80:I81"/>
    <mergeCell ref="A130:E130"/>
    <mergeCell ref="A131:C131"/>
    <mergeCell ref="G131:I131"/>
    <mergeCell ref="A132:E132"/>
    <mergeCell ref="G132:J132"/>
    <mergeCell ref="A133:E133"/>
    <mergeCell ref="G133:J133"/>
    <mergeCell ref="H123:H124"/>
    <mergeCell ref="I123:I124"/>
    <mergeCell ref="J123:J124"/>
    <mergeCell ref="K123:K124"/>
    <mergeCell ref="A123:A124"/>
    <mergeCell ref="B123:B124"/>
    <mergeCell ref="C123:C124"/>
    <mergeCell ref="D123:D124"/>
    <mergeCell ref="E123:E124"/>
    <mergeCell ref="F123:F124"/>
    <mergeCell ref="G123:G124"/>
    <mergeCell ref="G89:J89"/>
    <mergeCell ref="G90:J90"/>
    <mergeCell ref="A92:K9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253"/>
  <sheetViews>
    <sheetView topLeftCell="A257" workbookViewId="0">
      <selection activeCell="K252" sqref="K252:K253"/>
    </sheetView>
  </sheetViews>
  <sheetFormatPr defaultColWidth="12.6328125" defaultRowHeight="15.75" customHeight="1" x14ac:dyDescent="0.25"/>
  <sheetData>
    <row r="1" spans="1:11" ht="14" x14ac:dyDescent="0.3">
      <c r="A1" s="65" t="s">
        <v>0</v>
      </c>
      <c r="B1" s="66"/>
      <c r="C1" s="66"/>
      <c r="D1" s="66"/>
      <c r="E1" s="66"/>
      <c r="F1" s="2"/>
      <c r="G1" s="2"/>
      <c r="H1" s="2"/>
      <c r="I1" s="2"/>
      <c r="J1" s="2"/>
      <c r="K1" s="2"/>
    </row>
    <row r="2" spans="1:11" ht="14" x14ac:dyDescent="0.3">
      <c r="A2" s="65" t="s">
        <v>1</v>
      </c>
      <c r="B2" s="66"/>
      <c r="C2" s="66"/>
      <c r="D2" s="2"/>
      <c r="E2" s="2"/>
      <c r="F2" s="2"/>
      <c r="G2" s="65" t="s">
        <v>77</v>
      </c>
      <c r="H2" s="66"/>
      <c r="I2" s="66"/>
      <c r="J2" s="1"/>
      <c r="K2" s="2"/>
    </row>
    <row r="3" spans="1:11" ht="14" x14ac:dyDescent="0.3">
      <c r="A3" s="65" t="s">
        <v>3</v>
      </c>
      <c r="B3" s="66"/>
      <c r="C3" s="66"/>
      <c r="D3" s="66"/>
      <c r="E3" s="66"/>
      <c r="F3" s="2"/>
      <c r="G3" s="65" t="s">
        <v>4</v>
      </c>
      <c r="H3" s="66"/>
      <c r="I3" s="66"/>
      <c r="J3" s="66"/>
      <c r="K3" s="2"/>
    </row>
    <row r="4" spans="1:11" ht="14" x14ac:dyDescent="0.3">
      <c r="A4" s="65" t="s">
        <v>5</v>
      </c>
      <c r="B4" s="66"/>
      <c r="C4" s="66"/>
      <c r="D4" s="66"/>
      <c r="E4" s="66"/>
      <c r="F4" s="2"/>
      <c r="G4" s="65" t="s">
        <v>6</v>
      </c>
      <c r="H4" s="66"/>
      <c r="I4" s="66"/>
      <c r="J4" s="6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60" t="s">
        <v>7</v>
      </c>
      <c r="B6" s="61"/>
      <c r="C6" s="61"/>
      <c r="D6" s="61"/>
      <c r="E6" s="61"/>
      <c r="F6" s="61"/>
      <c r="G6" s="61"/>
      <c r="H6" s="61"/>
      <c r="I6" s="61"/>
      <c r="J6" s="61"/>
      <c r="K6" s="62"/>
    </row>
    <row r="7" spans="1:11" ht="14" x14ac:dyDescent="0.3">
      <c r="A7" s="67" t="s">
        <v>8</v>
      </c>
      <c r="B7" s="68"/>
      <c r="C7" s="68"/>
      <c r="D7" s="68"/>
      <c r="E7" s="68"/>
      <c r="F7" s="68"/>
      <c r="G7" s="68"/>
      <c r="H7" s="68"/>
      <c r="I7" s="68"/>
      <c r="J7" s="68"/>
      <c r="K7" s="69"/>
    </row>
    <row r="8" spans="1:11" ht="14" x14ac:dyDescent="0.3">
      <c r="A8" s="4" t="s">
        <v>9</v>
      </c>
      <c r="B8" s="5"/>
      <c r="C8" s="5"/>
      <c r="D8" s="5"/>
      <c r="E8" s="70" t="s">
        <v>10</v>
      </c>
      <c r="F8" s="71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59">
        <v>-207</v>
      </c>
    </row>
    <row r="11" spans="1:11" ht="15.75" customHeight="1" x14ac:dyDescent="0.25">
      <c r="A11" s="12" t="s">
        <v>23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4">
        <v>0</v>
      </c>
    </row>
    <row r="12" spans="1:11" ht="15.75" customHeight="1" x14ac:dyDescent="0.25">
      <c r="A12" s="12"/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0</v>
      </c>
    </row>
    <row r="13" spans="1:11" ht="14" x14ac:dyDescent="0.3">
      <c r="A13" s="27" t="s">
        <v>24</v>
      </c>
      <c r="B13" s="18">
        <v>4</v>
      </c>
      <c r="C13" s="18">
        <v>7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9">
        <v>11</v>
      </c>
    </row>
    <row r="14" spans="1:11" ht="14" x14ac:dyDescent="0.3">
      <c r="A14" s="27"/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9">
        <v>0</v>
      </c>
    </row>
    <row r="15" spans="1:11" ht="14" x14ac:dyDescent="0.3">
      <c r="A15" s="27" t="s">
        <v>25</v>
      </c>
      <c r="B15" s="18">
        <v>7</v>
      </c>
      <c r="C15" s="18">
        <v>4</v>
      </c>
      <c r="D15" s="18">
        <v>1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9">
        <v>12</v>
      </c>
    </row>
    <row r="16" spans="1:11" ht="14" x14ac:dyDescent="0.3">
      <c r="A16" s="27"/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9">
        <v>0</v>
      </c>
    </row>
    <row r="17" spans="1:11" ht="14" x14ac:dyDescent="0.3">
      <c r="A17" s="27" t="s">
        <v>26</v>
      </c>
      <c r="B17" s="18">
        <v>4</v>
      </c>
      <c r="C17" s="18">
        <v>3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9">
        <v>7</v>
      </c>
    </row>
    <row r="18" spans="1:11" ht="14" x14ac:dyDescent="0.3">
      <c r="A18" s="27"/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9">
        <v>0</v>
      </c>
    </row>
    <row r="19" spans="1:11" ht="14" x14ac:dyDescent="0.3">
      <c r="A19" s="27" t="s">
        <v>27</v>
      </c>
      <c r="B19" s="18">
        <v>3</v>
      </c>
      <c r="C19" s="18">
        <v>6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9">
        <v>9</v>
      </c>
    </row>
    <row r="20" spans="1:11" ht="14" x14ac:dyDescent="0.3">
      <c r="A20" s="27"/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9">
        <v>0</v>
      </c>
    </row>
    <row r="21" spans="1:11" ht="14" x14ac:dyDescent="0.3">
      <c r="A21" s="27" t="s">
        <v>28</v>
      </c>
      <c r="B21" s="18">
        <v>9</v>
      </c>
      <c r="C21" s="18">
        <v>6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9">
        <v>15</v>
      </c>
    </row>
    <row r="22" spans="1:11" ht="14" x14ac:dyDescent="0.3">
      <c r="A22" s="27"/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9">
        <v>0</v>
      </c>
    </row>
    <row r="23" spans="1:11" ht="14" x14ac:dyDescent="0.3">
      <c r="A23" s="27" t="s">
        <v>29</v>
      </c>
      <c r="B23" s="18">
        <v>15</v>
      </c>
      <c r="C23" s="18">
        <v>26</v>
      </c>
      <c r="D23" s="18">
        <v>1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9">
        <v>42</v>
      </c>
    </row>
    <row r="24" spans="1:11" ht="14" x14ac:dyDescent="0.3">
      <c r="A24" s="27"/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9">
        <v>0</v>
      </c>
    </row>
    <row r="25" spans="1:11" ht="14" x14ac:dyDescent="0.3">
      <c r="A25" s="27" t="s">
        <v>30</v>
      </c>
      <c r="B25" s="18">
        <v>22</v>
      </c>
      <c r="C25" s="18">
        <v>39</v>
      </c>
      <c r="D25" s="18">
        <v>2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9">
        <v>63</v>
      </c>
    </row>
    <row r="26" spans="1:11" ht="14" x14ac:dyDescent="0.3">
      <c r="A26" s="27"/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9">
        <v>0</v>
      </c>
    </row>
    <row r="27" spans="1:11" ht="14" x14ac:dyDescent="0.3">
      <c r="A27" s="27" t="s">
        <v>31</v>
      </c>
      <c r="B27" s="18">
        <v>13</v>
      </c>
      <c r="C27" s="18">
        <v>34</v>
      </c>
      <c r="D27" s="18">
        <v>2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9">
        <v>49</v>
      </c>
    </row>
    <row r="28" spans="1:11" ht="14" x14ac:dyDescent="0.3">
      <c r="A28" s="27"/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9">
        <v>0</v>
      </c>
    </row>
    <row r="29" spans="1:11" ht="14" x14ac:dyDescent="0.3">
      <c r="A29" s="27" t="s">
        <v>32</v>
      </c>
      <c r="B29" s="18">
        <v>1</v>
      </c>
      <c r="C29" s="18">
        <v>8</v>
      </c>
      <c r="D29" s="18">
        <v>1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9">
        <v>10</v>
      </c>
    </row>
    <row r="30" spans="1:11" ht="14" x14ac:dyDescent="0.3">
      <c r="A30" s="27"/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9">
        <v>0</v>
      </c>
    </row>
    <row r="31" spans="1:11" ht="14" x14ac:dyDescent="0.3">
      <c r="A31" s="27" t="s">
        <v>33</v>
      </c>
      <c r="B31" s="18">
        <v>9</v>
      </c>
      <c r="C31" s="18">
        <v>3</v>
      </c>
      <c r="D31" s="18">
        <v>1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9">
        <v>13</v>
      </c>
    </row>
    <row r="32" spans="1:11" ht="14" x14ac:dyDescent="0.3">
      <c r="A32" s="27"/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9">
        <v>0</v>
      </c>
    </row>
    <row r="33" spans="1:11" ht="14" x14ac:dyDescent="0.3">
      <c r="A33" s="27" t="s">
        <v>34</v>
      </c>
      <c r="B33" s="18">
        <v>8</v>
      </c>
      <c r="C33" s="18">
        <v>8</v>
      </c>
      <c r="D33" s="18">
        <v>1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9">
        <v>17</v>
      </c>
    </row>
    <row r="34" spans="1:11" ht="14" x14ac:dyDescent="0.3">
      <c r="A34" s="27"/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9">
        <v>0</v>
      </c>
    </row>
    <row r="35" spans="1:11" ht="14" x14ac:dyDescent="0.3">
      <c r="A35" s="27" t="s">
        <v>35</v>
      </c>
      <c r="B35" s="18">
        <v>23</v>
      </c>
      <c r="C35" s="18">
        <v>32</v>
      </c>
      <c r="D35" s="18">
        <v>4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9">
        <v>59</v>
      </c>
    </row>
    <row r="36" spans="1:11" ht="12.5" x14ac:dyDescent="0.25">
      <c r="A36" s="15"/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</row>
    <row r="37" spans="1:11" ht="12.5" x14ac:dyDescent="0.25">
      <c r="A37" s="63" t="s">
        <v>21</v>
      </c>
      <c r="B37" s="63">
        <v>118</v>
      </c>
      <c r="C37" s="63">
        <v>176</v>
      </c>
      <c r="D37" s="63">
        <v>13</v>
      </c>
      <c r="E37" s="63">
        <v>0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100</v>
      </c>
    </row>
    <row r="38" spans="1:11" ht="12.5" x14ac:dyDescent="0.2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1:11" ht="12.5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1:11" ht="12.5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65" t="s">
        <v>0</v>
      </c>
      <c r="B44" s="66"/>
      <c r="C44" s="66"/>
      <c r="D44" s="66"/>
      <c r="E44" s="66"/>
      <c r="F44" s="2"/>
      <c r="G44" s="2"/>
      <c r="H44" s="2"/>
      <c r="I44" s="2"/>
      <c r="J44" s="2"/>
      <c r="K44" s="2"/>
    </row>
    <row r="45" spans="1:11" ht="14" x14ac:dyDescent="0.3">
      <c r="A45" s="65" t="s">
        <v>1</v>
      </c>
      <c r="B45" s="66"/>
      <c r="C45" s="66"/>
      <c r="D45" s="2"/>
      <c r="E45" s="2"/>
      <c r="F45" s="2"/>
      <c r="G45" s="65" t="s">
        <v>78</v>
      </c>
      <c r="H45" s="66"/>
      <c r="I45" s="66"/>
      <c r="J45" s="1"/>
      <c r="K45" s="2"/>
    </row>
    <row r="46" spans="1:11" ht="14" x14ac:dyDescent="0.3">
      <c r="A46" s="65" t="s">
        <v>3</v>
      </c>
      <c r="B46" s="66"/>
      <c r="C46" s="66"/>
      <c r="D46" s="66"/>
      <c r="E46" s="66"/>
      <c r="F46" s="2"/>
      <c r="G46" s="65" t="s">
        <v>4</v>
      </c>
      <c r="H46" s="66"/>
      <c r="I46" s="66"/>
      <c r="J46" s="66"/>
      <c r="K46" s="2"/>
    </row>
    <row r="47" spans="1:11" ht="14" x14ac:dyDescent="0.3">
      <c r="A47" s="65" t="s">
        <v>5</v>
      </c>
      <c r="B47" s="66"/>
      <c r="C47" s="66"/>
      <c r="D47" s="66"/>
      <c r="E47" s="66"/>
      <c r="F47" s="2"/>
      <c r="G47" s="65" t="s">
        <v>6</v>
      </c>
      <c r="H47" s="66"/>
      <c r="I47" s="66"/>
      <c r="J47" s="6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60" t="s">
        <v>7</v>
      </c>
      <c r="B49" s="61"/>
      <c r="C49" s="61"/>
      <c r="D49" s="61"/>
      <c r="E49" s="61"/>
      <c r="F49" s="61"/>
      <c r="G49" s="61"/>
      <c r="H49" s="61"/>
      <c r="I49" s="61"/>
      <c r="J49" s="61"/>
      <c r="K49" s="62"/>
    </row>
    <row r="50" spans="1:11" ht="14" x14ac:dyDescent="0.3">
      <c r="A50" s="67" t="s">
        <v>8</v>
      </c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" x14ac:dyDescent="0.3">
      <c r="A51" s="4" t="s">
        <v>9</v>
      </c>
      <c r="B51" s="5"/>
      <c r="C51" s="5"/>
      <c r="D51" s="5"/>
      <c r="E51" s="70" t="s">
        <v>10</v>
      </c>
      <c r="F51" s="71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59">
        <v>-220</v>
      </c>
    </row>
    <row r="54" spans="1:11" ht="12.5" x14ac:dyDescent="0.25">
      <c r="A54" s="12" t="s">
        <v>23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0</v>
      </c>
    </row>
    <row r="55" spans="1:11" ht="12.5" x14ac:dyDescent="0.25">
      <c r="A55" s="12"/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4">
        <v>0</v>
      </c>
    </row>
    <row r="56" spans="1:11" ht="14" x14ac:dyDescent="0.3">
      <c r="A56" s="27" t="s">
        <v>24</v>
      </c>
      <c r="B56" s="18">
        <v>3</v>
      </c>
      <c r="C56" s="18">
        <v>9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9">
        <v>12</v>
      </c>
    </row>
    <row r="57" spans="1:11" ht="14" x14ac:dyDescent="0.3">
      <c r="A57" s="27"/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9">
        <v>0</v>
      </c>
    </row>
    <row r="58" spans="1:11" ht="14" x14ac:dyDescent="0.3">
      <c r="A58" s="27" t="s">
        <v>25</v>
      </c>
      <c r="B58" s="18">
        <v>1</v>
      </c>
      <c r="C58" s="18">
        <v>3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9">
        <v>4</v>
      </c>
    </row>
    <row r="59" spans="1:11" ht="14" x14ac:dyDescent="0.3">
      <c r="A59" s="27"/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9">
        <v>0</v>
      </c>
    </row>
    <row r="60" spans="1:11" ht="14" x14ac:dyDescent="0.3">
      <c r="A60" s="27" t="s">
        <v>26</v>
      </c>
      <c r="B60" s="18">
        <v>11</v>
      </c>
      <c r="C60" s="18">
        <v>2</v>
      </c>
      <c r="D60" s="18">
        <v>1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9">
        <v>14</v>
      </c>
    </row>
    <row r="61" spans="1:11" ht="14" x14ac:dyDescent="0.3">
      <c r="A61" s="27"/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9">
        <v>0</v>
      </c>
    </row>
    <row r="62" spans="1:11" ht="14" x14ac:dyDescent="0.3">
      <c r="A62" s="27" t="s">
        <v>27</v>
      </c>
      <c r="B62" s="18">
        <v>5</v>
      </c>
      <c r="C62" s="18">
        <v>2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9">
        <v>7</v>
      </c>
    </row>
    <row r="63" spans="1:11" ht="14" x14ac:dyDescent="0.3">
      <c r="A63" s="27"/>
      <c r="B63" s="18">
        <v>0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9">
        <v>0</v>
      </c>
    </row>
    <row r="64" spans="1:11" ht="14" x14ac:dyDescent="0.3">
      <c r="A64" s="27" t="s">
        <v>28</v>
      </c>
      <c r="B64" s="18">
        <v>18</v>
      </c>
      <c r="C64" s="18">
        <v>9</v>
      </c>
      <c r="D64" s="18">
        <v>1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9">
        <v>28</v>
      </c>
    </row>
    <row r="65" spans="1:11" ht="14" x14ac:dyDescent="0.3">
      <c r="A65" s="27"/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9">
        <v>0</v>
      </c>
    </row>
    <row r="66" spans="1:11" ht="14" x14ac:dyDescent="0.3">
      <c r="A66" s="27" t="s">
        <v>29</v>
      </c>
      <c r="B66" s="18">
        <v>26</v>
      </c>
      <c r="C66" s="18">
        <v>42</v>
      </c>
      <c r="D66" s="18">
        <v>3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9">
        <v>71</v>
      </c>
    </row>
    <row r="67" spans="1:11" ht="14" x14ac:dyDescent="0.3">
      <c r="A67" s="27"/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9">
        <v>0</v>
      </c>
    </row>
    <row r="68" spans="1:11" ht="14" x14ac:dyDescent="0.3">
      <c r="A68" s="27" t="s">
        <v>30</v>
      </c>
      <c r="B68" s="18">
        <v>25</v>
      </c>
      <c r="C68" s="18">
        <v>64</v>
      </c>
      <c r="D68" s="18">
        <v>9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9">
        <v>98</v>
      </c>
    </row>
    <row r="69" spans="1:11" ht="14" x14ac:dyDescent="0.3">
      <c r="A69" s="27"/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9">
        <v>0</v>
      </c>
    </row>
    <row r="70" spans="1:11" ht="14" x14ac:dyDescent="0.3">
      <c r="A70" s="27" t="s">
        <v>31</v>
      </c>
      <c r="B70" s="18">
        <v>14</v>
      </c>
      <c r="C70" s="18">
        <v>15</v>
      </c>
      <c r="D70" s="18">
        <v>1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9">
        <v>30</v>
      </c>
    </row>
    <row r="71" spans="1:11" ht="14" x14ac:dyDescent="0.3">
      <c r="A71" s="27"/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9">
        <v>0</v>
      </c>
    </row>
    <row r="72" spans="1:11" ht="14" x14ac:dyDescent="0.3">
      <c r="A72" s="27" t="s">
        <v>32</v>
      </c>
      <c r="B72" s="18">
        <v>11</v>
      </c>
      <c r="C72" s="18">
        <v>8</v>
      </c>
      <c r="D72" s="18">
        <v>1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9">
        <v>20</v>
      </c>
    </row>
    <row r="73" spans="1:11" ht="14" x14ac:dyDescent="0.3">
      <c r="A73" s="27"/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9">
        <v>0</v>
      </c>
    </row>
    <row r="74" spans="1:11" ht="14" x14ac:dyDescent="0.3">
      <c r="A74" s="27" t="s">
        <v>33</v>
      </c>
      <c r="B74" s="18">
        <v>5</v>
      </c>
      <c r="C74" s="18">
        <v>1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9">
        <v>6</v>
      </c>
    </row>
    <row r="75" spans="1:11" ht="14" x14ac:dyDescent="0.3">
      <c r="A75" s="27"/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9">
        <v>0</v>
      </c>
    </row>
    <row r="76" spans="1:11" ht="14" x14ac:dyDescent="0.3">
      <c r="A76" s="27" t="s">
        <v>34</v>
      </c>
      <c r="B76" s="18">
        <v>7</v>
      </c>
      <c r="C76" s="18">
        <v>5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9">
        <v>12</v>
      </c>
    </row>
    <row r="77" spans="1:11" ht="14" x14ac:dyDescent="0.3">
      <c r="A77" s="27"/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9">
        <v>0</v>
      </c>
    </row>
    <row r="78" spans="1:11" ht="14" x14ac:dyDescent="0.3">
      <c r="A78" s="27" t="s">
        <v>35</v>
      </c>
      <c r="B78" s="18">
        <v>12</v>
      </c>
      <c r="C78" s="18">
        <v>6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9">
        <v>18</v>
      </c>
    </row>
    <row r="79" spans="1:11" ht="12.5" x14ac:dyDescent="0.25">
      <c r="A79" s="15"/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</row>
    <row r="80" spans="1:11" ht="12.5" x14ac:dyDescent="0.25">
      <c r="A80" s="63" t="s">
        <v>21</v>
      </c>
      <c r="B80" s="63">
        <v>138</v>
      </c>
      <c r="C80" s="63">
        <v>166</v>
      </c>
      <c r="D80" s="63">
        <v>16</v>
      </c>
      <c r="E80" s="63">
        <v>0</v>
      </c>
      <c r="F80" s="63">
        <v>0</v>
      </c>
      <c r="G80" s="63">
        <v>0</v>
      </c>
      <c r="H80" s="63">
        <v>0</v>
      </c>
      <c r="I80" s="63">
        <v>0</v>
      </c>
      <c r="J80" s="63">
        <v>0</v>
      </c>
      <c r="K80" s="63">
        <v>100</v>
      </c>
    </row>
    <row r="81" spans="1:11" ht="12.5" x14ac:dyDescent="0.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</row>
    <row r="82" spans="1:11" ht="12.5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</row>
    <row r="83" spans="1:11" ht="12.5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65" t="s">
        <v>0</v>
      </c>
      <c r="B87" s="66"/>
      <c r="C87" s="66"/>
      <c r="D87" s="66"/>
      <c r="E87" s="66"/>
      <c r="F87" s="2"/>
      <c r="G87" s="2"/>
      <c r="H87" s="2"/>
      <c r="I87" s="2"/>
      <c r="J87" s="2"/>
      <c r="K87" s="2"/>
    </row>
    <row r="88" spans="1:11" ht="14" x14ac:dyDescent="0.3">
      <c r="A88" s="65" t="s">
        <v>1</v>
      </c>
      <c r="B88" s="66"/>
      <c r="C88" s="66"/>
      <c r="D88" s="2"/>
      <c r="E88" s="2"/>
      <c r="F88" s="2"/>
      <c r="G88" s="65" t="s">
        <v>79</v>
      </c>
      <c r="H88" s="66"/>
      <c r="I88" s="66"/>
      <c r="J88" s="1"/>
      <c r="K88" s="2"/>
    </row>
    <row r="89" spans="1:11" ht="14" x14ac:dyDescent="0.3">
      <c r="A89" s="65" t="s">
        <v>3</v>
      </c>
      <c r="B89" s="66"/>
      <c r="C89" s="66"/>
      <c r="D89" s="66"/>
      <c r="E89" s="66"/>
      <c r="F89" s="2"/>
      <c r="G89" s="65" t="s">
        <v>4</v>
      </c>
      <c r="H89" s="66"/>
      <c r="I89" s="66"/>
      <c r="J89" s="66"/>
      <c r="K89" s="2"/>
    </row>
    <row r="90" spans="1:11" ht="14" x14ac:dyDescent="0.3">
      <c r="A90" s="65" t="s">
        <v>5</v>
      </c>
      <c r="B90" s="66"/>
      <c r="C90" s="66"/>
      <c r="D90" s="66"/>
      <c r="E90" s="66"/>
      <c r="F90" s="2"/>
      <c r="G90" s="65" t="s">
        <v>6</v>
      </c>
      <c r="H90" s="66"/>
      <c r="I90" s="66"/>
      <c r="J90" s="6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60" t="s">
        <v>7</v>
      </c>
      <c r="B92" s="61"/>
      <c r="C92" s="61"/>
      <c r="D92" s="61"/>
      <c r="E92" s="61"/>
      <c r="F92" s="61"/>
      <c r="G92" s="61"/>
      <c r="H92" s="61"/>
      <c r="I92" s="61"/>
      <c r="J92" s="61"/>
      <c r="K92" s="62"/>
    </row>
    <row r="93" spans="1:11" ht="14" x14ac:dyDescent="0.3">
      <c r="A93" s="67" t="s">
        <v>8</v>
      </c>
      <c r="B93" s="68"/>
      <c r="C93" s="68"/>
      <c r="D93" s="68"/>
      <c r="E93" s="68"/>
      <c r="F93" s="68"/>
      <c r="G93" s="68"/>
      <c r="H93" s="68"/>
      <c r="I93" s="68"/>
      <c r="J93" s="68"/>
      <c r="K93" s="69"/>
    </row>
    <row r="94" spans="1:11" ht="14" x14ac:dyDescent="0.3">
      <c r="A94" s="4" t="s">
        <v>9</v>
      </c>
      <c r="B94" s="5"/>
      <c r="C94" s="5"/>
      <c r="D94" s="5"/>
      <c r="E94" s="70" t="s">
        <v>10</v>
      </c>
      <c r="F94" s="71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9" t="s">
        <v>22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59">
        <v>-333</v>
      </c>
    </row>
    <row r="97" spans="1:11" ht="12.5" x14ac:dyDescent="0.25">
      <c r="A97" s="12" t="s">
        <v>23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4">
        <v>0</v>
      </c>
    </row>
    <row r="98" spans="1:11" ht="12.5" x14ac:dyDescent="0.25">
      <c r="A98" s="12"/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0</v>
      </c>
    </row>
    <row r="99" spans="1:11" ht="14" x14ac:dyDescent="0.3">
      <c r="A99" s="27" t="s">
        <v>24</v>
      </c>
      <c r="B99" s="18">
        <v>13</v>
      </c>
      <c r="C99" s="18">
        <v>2</v>
      </c>
      <c r="D99" s="18">
        <v>1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9">
        <v>16</v>
      </c>
    </row>
    <row r="100" spans="1:11" ht="14" x14ac:dyDescent="0.3">
      <c r="A100" s="27"/>
      <c r="B100" s="18">
        <v>0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  <c r="K100" s="19">
        <v>0</v>
      </c>
    </row>
    <row r="101" spans="1:11" ht="14" x14ac:dyDescent="0.3">
      <c r="A101" s="27" t="s">
        <v>25</v>
      </c>
      <c r="B101" s="18">
        <v>21</v>
      </c>
      <c r="C101" s="18">
        <v>7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9">
        <v>28</v>
      </c>
    </row>
    <row r="102" spans="1:11" ht="14" x14ac:dyDescent="0.3">
      <c r="A102" s="27"/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9">
        <v>0</v>
      </c>
    </row>
    <row r="103" spans="1:11" ht="14" x14ac:dyDescent="0.3">
      <c r="A103" s="27" t="s">
        <v>26</v>
      </c>
      <c r="B103" s="18">
        <v>19</v>
      </c>
      <c r="C103" s="18">
        <v>5</v>
      </c>
      <c r="D103" s="18">
        <v>1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9">
        <v>25</v>
      </c>
    </row>
    <row r="104" spans="1:11" ht="14" x14ac:dyDescent="0.3">
      <c r="A104" s="27"/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9">
        <v>0</v>
      </c>
    </row>
    <row r="105" spans="1:11" ht="14" x14ac:dyDescent="0.3">
      <c r="A105" s="27" t="s">
        <v>27</v>
      </c>
      <c r="B105" s="18">
        <v>11</v>
      </c>
      <c r="C105" s="18">
        <v>9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9">
        <v>20</v>
      </c>
    </row>
    <row r="106" spans="1:11" ht="14" x14ac:dyDescent="0.3">
      <c r="A106" s="27"/>
      <c r="B106" s="18">
        <v>0</v>
      </c>
      <c r="C106" s="18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9">
        <v>0</v>
      </c>
    </row>
    <row r="107" spans="1:11" ht="14" x14ac:dyDescent="0.3">
      <c r="A107" s="27" t="s">
        <v>28</v>
      </c>
      <c r="B107" s="18">
        <v>8</v>
      </c>
      <c r="C107" s="18">
        <v>9</v>
      </c>
      <c r="D107" s="18">
        <v>1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9">
        <v>18</v>
      </c>
    </row>
    <row r="108" spans="1:11" ht="14" x14ac:dyDescent="0.3">
      <c r="A108" s="27"/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9">
        <v>0</v>
      </c>
    </row>
    <row r="109" spans="1:11" ht="14" x14ac:dyDescent="0.3">
      <c r="A109" s="27" t="s">
        <v>29</v>
      </c>
      <c r="B109" s="18">
        <v>29</v>
      </c>
      <c r="C109" s="18">
        <v>42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9">
        <v>71</v>
      </c>
    </row>
    <row r="110" spans="1:11" ht="14" x14ac:dyDescent="0.3">
      <c r="A110" s="27"/>
      <c r="B110" s="18">
        <v>0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9">
        <v>0</v>
      </c>
    </row>
    <row r="111" spans="1:11" ht="14" x14ac:dyDescent="0.3">
      <c r="A111" s="27" t="s">
        <v>30</v>
      </c>
      <c r="B111" s="18">
        <v>28</v>
      </c>
      <c r="C111" s="18">
        <v>36</v>
      </c>
      <c r="D111" s="18">
        <v>2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9">
        <v>66</v>
      </c>
    </row>
    <row r="112" spans="1:11" ht="14" x14ac:dyDescent="0.3">
      <c r="A112" s="27"/>
      <c r="B112" s="18">
        <v>0</v>
      </c>
      <c r="C112" s="18">
        <v>0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9">
        <v>0</v>
      </c>
    </row>
    <row r="113" spans="1:11" ht="14" x14ac:dyDescent="0.3">
      <c r="A113" s="27" t="s">
        <v>31</v>
      </c>
      <c r="B113" s="18">
        <v>26</v>
      </c>
      <c r="C113" s="18">
        <v>28</v>
      </c>
      <c r="D113" s="18">
        <v>3</v>
      </c>
      <c r="E113" s="18">
        <v>1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9">
        <v>58</v>
      </c>
    </row>
    <row r="114" spans="1:11" ht="14" x14ac:dyDescent="0.3">
      <c r="A114" s="27"/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9">
        <v>0</v>
      </c>
    </row>
    <row r="115" spans="1:11" ht="14" x14ac:dyDescent="0.3">
      <c r="A115" s="27" t="s">
        <v>32</v>
      </c>
      <c r="B115" s="18">
        <v>29</v>
      </c>
      <c r="C115" s="18">
        <v>2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9">
        <v>31</v>
      </c>
    </row>
    <row r="116" spans="1:11" ht="14" x14ac:dyDescent="0.3">
      <c r="A116" s="27"/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9">
        <v>0</v>
      </c>
    </row>
    <row r="117" spans="1:11" ht="14" x14ac:dyDescent="0.3">
      <c r="A117" s="27" t="s">
        <v>33</v>
      </c>
      <c r="B117" s="18">
        <v>17</v>
      </c>
      <c r="C117" s="18">
        <v>3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9">
        <v>20</v>
      </c>
    </row>
    <row r="118" spans="1:11" ht="14" x14ac:dyDescent="0.3">
      <c r="A118" s="27"/>
      <c r="B118" s="18">
        <v>0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9">
        <v>0</v>
      </c>
    </row>
    <row r="119" spans="1:11" ht="14" x14ac:dyDescent="0.3">
      <c r="A119" s="27" t="s">
        <v>34</v>
      </c>
      <c r="B119" s="18">
        <v>29</v>
      </c>
      <c r="C119" s="18">
        <v>5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9">
        <v>34</v>
      </c>
    </row>
    <row r="120" spans="1:11" ht="14" x14ac:dyDescent="0.3">
      <c r="A120" s="27"/>
      <c r="B120" s="18">
        <v>0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  <c r="K120" s="19">
        <v>0</v>
      </c>
    </row>
    <row r="121" spans="1:11" ht="14" x14ac:dyDescent="0.3">
      <c r="A121" s="27" t="s">
        <v>35</v>
      </c>
      <c r="B121" s="18">
        <v>33</v>
      </c>
      <c r="C121" s="18">
        <v>12</v>
      </c>
      <c r="D121" s="18">
        <v>1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9">
        <v>46</v>
      </c>
    </row>
    <row r="122" spans="1:11" ht="12.5" x14ac:dyDescent="0.25">
      <c r="A122" s="15"/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</row>
    <row r="123" spans="1:11" ht="12.5" x14ac:dyDescent="0.25">
      <c r="A123" s="63" t="s">
        <v>21</v>
      </c>
      <c r="B123" s="63">
        <v>263</v>
      </c>
      <c r="C123" s="63">
        <v>160</v>
      </c>
      <c r="D123" s="63">
        <v>9</v>
      </c>
      <c r="E123" s="63">
        <v>1</v>
      </c>
      <c r="F123" s="63">
        <v>0</v>
      </c>
      <c r="G123" s="63">
        <v>0</v>
      </c>
      <c r="H123" s="63">
        <v>0</v>
      </c>
      <c r="I123" s="63">
        <v>0</v>
      </c>
      <c r="J123" s="63">
        <v>0</v>
      </c>
      <c r="K123" s="63">
        <v>100</v>
      </c>
    </row>
    <row r="124" spans="1:11" ht="12.5" x14ac:dyDescent="0.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2.5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 spans="1:11" ht="12.5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65" t="s">
        <v>0</v>
      </c>
      <c r="B130" s="66"/>
      <c r="C130" s="66"/>
      <c r="D130" s="66"/>
      <c r="E130" s="66"/>
      <c r="F130" s="2"/>
      <c r="G130" s="2"/>
      <c r="H130" s="2"/>
      <c r="I130" s="2"/>
      <c r="J130" s="2"/>
      <c r="K130" s="2"/>
    </row>
    <row r="131" spans="1:11" ht="14" x14ac:dyDescent="0.3">
      <c r="A131" s="65" t="s">
        <v>1</v>
      </c>
      <c r="B131" s="66"/>
      <c r="C131" s="66"/>
      <c r="D131" s="2"/>
      <c r="E131" s="2"/>
      <c r="F131" s="2"/>
      <c r="G131" s="65" t="s">
        <v>80</v>
      </c>
      <c r="H131" s="66"/>
      <c r="I131" s="66"/>
      <c r="J131" s="1"/>
      <c r="K131" s="2"/>
    </row>
    <row r="132" spans="1:11" ht="14" x14ac:dyDescent="0.3">
      <c r="A132" s="65" t="s">
        <v>3</v>
      </c>
      <c r="B132" s="66"/>
      <c r="C132" s="66"/>
      <c r="D132" s="66"/>
      <c r="E132" s="66"/>
      <c r="F132" s="2"/>
      <c r="G132" s="65" t="s">
        <v>4</v>
      </c>
      <c r="H132" s="66"/>
      <c r="I132" s="66"/>
      <c r="J132" s="66"/>
      <c r="K132" s="2"/>
    </row>
    <row r="133" spans="1:11" ht="14" x14ac:dyDescent="0.3">
      <c r="A133" s="65" t="s">
        <v>5</v>
      </c>
      <c r="B133" s="66"/>
      <c r="C133" s="66"/>
      <c r="D133" s="66"/>
      <c r="E133" s="66"/>
      <c r="F133" s="2"/>
      <c r="G133" s="65" t="s">
        <v>6</v>
      </c>
      <c r="H133" s="66"/>
      <c r="I133" s="66"/>
      <c r="J133" s="6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60" t="s">
        <v>7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2"/>
    </row>
    <row r="136" spans="1:11" ht="14" x14ac:dyDescent="0.3">
      <c r="A136" s="67" t="s">
        <v>8</v>
      </c>
      <c r="B136" s="68"/>
      <c r="C136" s="68"/>
      <c r="D136" s="68"/>
      <c r="E136" s="68"/>
      <c r="F136" s="68"/>
      <c r="G136" s="68"/>
      <c r="H136" s="68"/>
      <c r="I136" s="68"/>
      <c r="J136" s="68"/>
      <c r="K136" s="69"/>
    </row>
    <row r="137" spans="1:11" ht="14" x14ac:dyDescent="0.3">
      <c r="A137" s="4" t="s">
        <v>9</v>
      </c>
      <c r="B137" s="5"/>
      <c r="C137" s="5"/>
      <c r="D137" s="5"/>
      <c r="E137" s="70" t="s">
        <v>10</v>
      </c>
      <c r="F137" s="71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>
        <v>0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59">
        <v>-220</v>
      </c>
    </row>
    <row r="140" spans="1:11" ht="12.5" x14ac:dyDescent="0.25">
      <c r="A140" s="12" t="s">
        <v>23</v>
      </c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0</v>
      </c>
    </row>
    <row r="141" spans="1:11" ht="12.5" x14ac:dyDescent="0.25">
      <c r="A141" s="12"/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4">
        <v>0</v>
      </c>
    </row>
    <row r="142" spans="1:11" ht="14" x14ac:dyDescent="0.3">
      <c r="A142" s="27" t="s">
        <v>24</v>
      </c>
      <c r="B142" s="18">
        <v>3</v>
      </c>
      <c r="C142" s="18">
        <v>9</v>
      </c>
      <c r="D142" s="18">
        <v>0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9">
        <v>12</v>
      </c>
    </row>
    <row r="143" spans="1:11" ht="14" x14ac:dyDescent="0.3">
      <c r="A143" s="27"/>
      <c r="B143" s="18">
        <v>0</v>
      </c>
      <c r="C143" s="18">
        <v>0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9">
        <v>0</v>
      </c>
    </row>
    <row r="144" spans="1:11" ht="14" x14ac:dyDescent="0.3">
      <c r="A144" s="27" t="s">
        <v>25</v>
      </c>
      <c r="B144" s="18">
        <v>1</v>
      </c>
      <c r="C144" s="18">
        <v>3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9">
        <v>4</v>
      </c>
    </row>
    <row r="145" spans="1:11" ht="14" x14ac:dyDescent="0.3">
      <c r="A145" s="27"/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  <c r="K145" s="19">
        <v>0</v>
      </c>
    </row>
    <row r="146" spans="1:11" ht="14" x14ac:dyDescent="0.3">
      <c r="A146" s="27" t="s">
        <v>26</v>
      </c>
      <c r="B146" s="18">
        <v>11</v>
      </c>
      <c r="C146" s="18">
        <v>2</v>
      </c>
      <c r="D146" s="18">
        <v>1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9">
        <v>14</v>
      </c>
    </row>
    <row r="147" spans="1:11" ht="14" x14ac:dyDescent="0.3">
      <c r="A147" s="27"/>
      <c r="B147" s="18">
        <v>0</v>
      </c>
      <c r="C147" s="18">
        <v>0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0</v>
      </c>
      <c r="K147" s="19">
        <v>0</v>
      </c>
    </row>
    <row r="148" spans="1:11" ht="14" x14ac:dyDescent="0.3">
      <c r="A148" s="27" t="s">
        <v>27</v>
      </c>
      <c r="B148" s="18">
        <v>5</v>
      </c>
      <c r="C148" s="18">
        <v>2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9">
        <v>7</v>
      </c>
    </row>
    <row r="149" spans="1:11" ht="14" x14ac:dyDescent="0.3">
      <c r="A149" s="27"/>
      <c r="B149" s="18">
        <v>0</v>
      </c>
      <c r="C149" s="18">
        <v>0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  <c r="K149" s="19">
        <v>0</v>
      </c>
    </row>
    <row r="150" spans="1:11" ht="14" x14ac:dyDescent="0.3">
      <c r="A150" s="27" t="s">
        <v>28</v>
      </c>
      <c r="B150" s="18">
        <v>18</v>
      </c>
      <c r="C150" s="18">
        <v>9</v>
      </c>
      <c r="D150" s="18">
        <v>1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9">
        <v>28</v>
      </c>
    </row>
    <row r="151" spans="1:11" ht="14" x14ac:dyDescent="0.3">
      <c r="A151" s="27"/>
      <c r="B151" s="18">
        <v>0</v>
      </c>
      <c r="C151" s="18">
        <v>0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9">
        <v>0</v>
      </c>
    </row>
    <row r="152" spans="1:11" ht="14" x14ac:dyDescent="0.3">
      <c r="A152" s="27" t="s">
        <v>29</v>
      </c>
      <c r="B152" s="18">
        <v>26</v>
      </c>
      <c r="C152" s="18">
        <v>42</v>
      </c>
      <c r="D152" s="18">
        <v>3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9">
        <v>71</v>
      </c>
    </row>
    <row r="153" spans="1:11" ht="14" x14ac:dyDescent="0.3">
      <c r="A153" s="27"/>
      <c r="B153" s="18">
        <v>0</v>
      </c>
      <c r="C153" s="18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0</v>
      </c>
      <c r="K153" s="19">
        <v>0</v>
      </c>
    </row>
    <row r="154" spans="1:11" ht="14" x14ac:dyDescent="0.3">
      <c r="A154" s="27" t="s">
        <v>30</v>
      </c>
      <c r="B154" s="18">
        <v>25</v>
      </c>
      <c r="C154" s="18">
        <v>64</v>
      </c>
      <c r="D154" s="18">
        <v>9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9">
        <v>98</v>
      </c>
    </row>
    <row r="155" spans="1:11" ht="14" x14ac:dyDescent="0.3">
      <c r="A155" s="27"/>
      <c r="B155" s="18">
        <v>0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9">
        <v>0</v>
      </c>
    </row>
    <row r="156" spans="1:11" ht="14" x14ac:dyDescent="0.3">
      <c r="A156" s="27" t="s">
        <v>31</v>
      </c>
      <c r="B156" s="18">
        <v>14</v>
      </c>
      <c r="C156" s="18">
        <v>15</v>
      </c>
      <c r="D156" s="18">
        <v>1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0</v>
      </c>
      <c r="K156" s="19">
        <v>30</v>
      </c>
    </row>
    <row r="157" spans="1:11" ht="14" x14ac:dyDescent="0.3">
      <c r="A157" s="27"/>
      <c r="B157" s="18">
        <v>0</v>
      </c>
      <c r="C157" s="18">
        <v>0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9">
        <v>0</v>
      </c>
    </row>
    <row r="158" spans="1:11" ht="14" x14ac:dyDescent="0.3">
      <c r="A158" s="27" t="s">
        <v>32</v>
      </c>
      <c r="B158" s="18">
        <v>11</v>
      </c>
      <c r="C158" s="18">
        <v>8</v>
      </c>
      <c r="D158" s="18">
        <v>1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9">
        <v>20</v>
      </c>
    </row>
    <row r="159" spans="1:11" ht="14" x14ac:dyDescent="0.3">
      <c r="A159" s="27"/>
      <c r="B159" s="18">
        <v>0</v>
      </c>
      <c r="C159" s="18">
        <v>0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9">
        <v>0</v>
      </c>
    </row>
    <row r="160" spans="1:11" ht="14" x14ac:dyDescent="0.3">
      <c r="A160" s="27" t="s">
        <v>33</v>
      </c>
      <c r="B160" s="18">
        <v>5</v>
      </c>
      <c r="C160" s="18">
        <v>1</v>
      </c>
      <c r="D160" s="18">
        <v>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9">
        <v>6</v>
      </c>
    </row>
    <row r="161" spans="1:11" ht="14" x14ac:dyDescent="0.3">
      <c r="A161" s="27"/>
      <c r="B161" s="18">
        <v>0</v>
      </c>
      <c r="C161" s="18">
        <v>0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9">
        <v>0</v>
      </c>
    </row>
    <row r="162" spans="1:11" ht="14" x14ac:dyDescent="0.3">
      <c r="A162" s="27" t="s">
        <v>34</v>
      </c>
      <c r="B162" s="18">
        <v>7</v>
      </c>
      <c r="C162" s="18">
        <v>5</v>
      </c>
      <c r="D162" s="18">
        <v>0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0</v>
      </c>
      <c r="K162" s="19">
        <v>12</v>
      </c>
    </row>
    <row r="163" spans="1:11" ht="14" x14ac:dyDescent="0.3">
      <c r="A163" s="27"/>
      <c r="B163" s="18">
        <v>0</v>
      </c>
      <c r="C163" s="18">
        <v>0</v>
      </c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0</v>
      </c>
      <c r="K163" s="19">
        <v>0</v>
      </c>
    </row>
    <row r="164" spans="1:11" ht="14" x14ac:dyDescent="0.3">
      <c r="A164" s="27" t="s">
        <v>35</v>
      </c>
      <c r="B164" s="18">
        <v>12</v>
      </c>
      <c r="C164" s="18">
        <v>6</v>
      </c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9">
        <v>18</v>
      </c>
    </row>
    <row r="165" spans="1:11" ht="12.5" x14ac:dyDescent="0.25">
      <c r="A165" s="15"/>
      <c r="B165" s="14">
        <v>0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</row>
    <row r="166" spans="1:11" ht="12.5" x14ac:dyDescent="0.25">
      <c r="A166" s="63" t="s">
        <v>21</v>
      </c>
      <c r="B166" s="63">
        <v>138</v>
      </c>
      <c r="C166" s="63">
        <v>166</v>
      </c>
      <c r="D166" s="63">
        <v>16</v>
      </c>
      <c r="E166" s="63">
        <v>0</v>
      </c>
      <c r="F166" s="63">
        <v>0</v>
      </c>
      <c r="G166" s="63">
        <v>0</v>
      </c>
      <c r="H166" s="63">
        <v>0</v>
      </c>
      <c r="I166" s="63">
        <v>0</v>
      </c>
      <c r="J166" s="63">
        <v>0</v>
      </c>
      <c r="K166" s="63">
        <v>100</v>
      </c>
    </row>
    <row r="167" spans="1:11" ht="12.5" x14ac:dyDescent="0.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</row>
    <row r="168" spans="1:11" ht="12.5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 spans="1:11" ht="12.5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65" t="s">
        <v>0</v>
      </c>
      <c r="B173" s="66"/>
      <c r="C173" s="66"/>
      <c r="D173" s="66"/>
      <c r="E173" s="66"/>
      <c r="F173" s="2"/>
      <c r="G173" s="2"/>
      <c r="H173" s="2"/>
      <c r="I173" s="2"/>
      <c r="J173" s="2"/>
      <c r="K173" s="2"/>
    </row>
    <row r="174" spans="1:11" ht="14" x14ac:dyDescent="0.3">
      <c r="A174" s="65" t="s">
        <v>1</v>
      </c>
      <c r="B174" s="66"/>
      <c r="C174" s="66"/>
      <c r="D174" s="2"/>
      <c r="E174" s="2"/>
      <c r="F174" s="2"/>
      <c r="G174" s="65" t="s">
        <v>81</v>
      </c>
      <c r="H174" s="66"/>
      <c r="I174" s="66"/>
      <c r="J174" s="1"/>
      <c r="K174" s="2"/>
    </row>
    <row r="175" spans="1:11" ht="14" x14ac:dyDescent="0.3">
      <c r="A175" s="65" t="s">
        <v>39</v>
      </c>
      <c r="B175" s="66"/>
      <c r="C175" s="66"/>
      <c r="D175" s="66"/>
      <c r="E175" s="66"/>
      <c r="F175" s="2"/>
      <c r="G175" s="65" t="s">
        <v>4</v>
      </c>
      <c r="H175" s="66"/>
      <c r="I175" s="66"/>
      <c r="J175" s="66"/>
      <c r="K175" s="2"/>
    </row>
    <row r="176" spans="1:11" ht="14" x14ac:dyDescent="0.3">
      <c r="A176" s="65" t="s">
        <v>5</v>
      </c>
      <c r="B176" s="66"/>
      <c r="C176" s="66"/>
      <c r="D176" s="66"/>
      <c r="E176" s="66"/>
      <c r="F176" s="2"/>
      <c r="G176" s="65" t="s">
        <v>6</v>
      </c>
      <c r="H176" s="66"/>
      <c r="I176" s="66"/>
      <c r="J176" s="6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60" t="s">
        <v>7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2"/>
    </row>
    <row r="179" spans="1:11" ht="14" x14ac:dyDescent="0.3">
      <c r="A179" s="67" t="s">
        <v>8</v>
      </c>
      <c r="B179" s="68"/>
      <c r="C179" s="68"/>
      <c r="D179" s="68"/>
      <c r="E179" s="68"/>
      <c r="F179" s="68"/>
      <c r="G179" s="68"/>
      <c r="H179" s="68"/>
      <c r="I179" s="68"/>
      <c r="J179" s="68"/>
      <c r="K179" s="69"/>
    </row>
    <row r="180" spans="1:11" ht="14" x14ac:dyDescent="0.3">
      <c r="A180" s="4" t="s">
        <v>9</v>
      </c>
      <c r="B180" s="5"/>
      <c r="C180" s="5"/>
      <c r="D180" s="5"/>
      <c r="E180" s="70" t="s">
        <v>10</v>
      </c>
      <c r="F180" s="71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4" x14ac:dyDescent="0.3">
      <c r="A182" s="25" t="s">
        <v>22</v>
      </c>
      <c r="B182" s="28">
        <v>0</v>
      </c>
      <c r="C182" s="28">
        <v>0</v>
      </c>
      <c r="D182" s="28">
        <v>0</v>
      </c>
      <c r="E182" s="28">
        <v>0</v>
      </c>
      <c r="F182" s="28">
        <v>0</v>
      </c>
      <c r="G182" s="28">
        <v>0</v>
      </c>
      <c r="H182" s="28">
        <v>0</v>
      </c>
      <c r="I182" s="28">
        <v>0</v>
      </c>
      <c r="J182" s="28">
        <v>0</v>
      </c>
      <c r="K182" s="59">
        <v>120</v>
      </c>
    </row>
    <row r="183" spans="1:11" ht="14" x14ac:dyDescent="0.3">
      <c r="A183" s="27" t="s">
        <v>23</v>
      </c>
      <c r="B183" s="18">
        <v>0</v>
      </c>
      <c r="C183" s="18">
        <v>0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8">
        <v>0</v>
      </c>
      <c r="K183" s="19">
        <v>0</v>
      </c>
    </row>
    <row r="184" spans="1:11" ht="14" x14ac:dyDescent="0.3">
      <c r="A184" s="27"/>
      <c r="B184" s="18">
        <v>0</v>
      </c>
      <c r="C184" s="18">
        <v>0</v>
      </c>
      <c r="D184" s="18">
        <v>0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8">
        <v>0</v>
      </c>
      <c r="K184" s="19">
        <v>0</v>
      </c>
    </row>
    <row r="185" spans="1:11" ht="14" x14ac:dyDescent="0.3">
      <c r="A185" s="27" t="s">
        <v>24</v>
      </c>
      <c r="B185" s="18">
        <v>23</v>
      </c>
      <c r="C185" s="18">
        <v>12</v>
      </c>
      <c r="D185" s="18">
        <v>3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8">
        <v>0</v>
      </c>
      <c r="K185" s="19">
        <v>38</v>
      </c>
    </row>
    <row r="186" spans="1:11" ht="14" x14ac:dyDescent="0.3">
      <c r="A186" s="27"/>
      <c r="B186" s="18">
        <v>0</v>
      </c>
      <c r="C186" s="18">
        <v>0</v>
      </c>
      <c r="D186" s="18">
        <v>0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8">
        <v>0</v>
      </c>
      <c r="K186" s="19">
        <v>0</v>
      </c>
    </row>
    <row r="187" spans="1:11" ht="14" x14ac:dyDescent="0.3">
      <c r="A187" s="27" t="s">
        <v>25</v>
      </c>
      <c r="B187" s="18">
        <v>17</v>
      </c>
      <c r="C187" s="18">
        <v>7</v>
      </c>
      <c r="D187" s="18">
        <v>1</v>
      </c>
      <c r="E187" s="18">
        <v>0</v>
      </c>
      <c r="F187" s="18">
        <v>0</v>
      </c>
      <c r="G187" s="18">
        <v>0</v>
      </c>
      <c r="H187" s="18">
        <v>0</v>
      </c>
      <c r="I187" s="18">
        <v>0</v>
      </c>
      <c r="J187" s="18">
        <v>0</v>
      </c>
      <c r="K187" s="19">
        <v>25</v>
      </c>
    </row>
    <row r="188" spans="1:11" ht="14" x14ac:dyDescent="0.3">
      <c r="A188" s="27"/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8">
        <v>0</v>
      </c>
      <c r="K188" s="19">
        <v>0</v>
      </c>
    </row>
    <row r="189" spans="1:11" ht="14" x14ac:dyDescent="0.3">
      <c r="A189" s="27" t="s">
        <v>26</v>
      </c>
      <c r="B189" s="18">
        <v>18</v>
      </c>
      <c r="C189" s="18">
        <v>3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8">
        <v>0</v>
      </c>
      <c r="K189" s="19">
        <v>21</v>
      </c>
    </row>
    <row r="190" spans="1:11" ht="14" x14ac:dyDescent="0.3">
      <c r="A190" s="27"/>
      <c r="B190" s="18">
        <v>0</v>
      </c>
      <c r="C190" s="18">
        <v>0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8">
        <v>0</v>
      </c>
      <c r="K190" s="19">
        <v>0</v>
      </c>
    </row>
    <row r="191" spans="1:11" ht="14" x14ac:dyDescent="0.3">
      <c r="A191" s="27" t="s">
        <v>27</v>
      </c>
      <c r="B191" s="18">
        <v>23</v>
      </c>
      <c r="C191" s="18">
        <v>5</v>
      </c>
      <c r="D191" s="18">
        <v>0</v>
      </c>
      <c r="E191" s="18">
        <v>0</v>
      </c>
      <c r="F191" s="18">
        <v>0</v>
      </c>
      <c r="G191" s="18">
        <v>1</v>
      </c>
      <c r="H191" s="18">
        <v>0</v>
      </c>
      <c r="I191" s="18">
        <v>0</v>
      </c>
      <c r="J191" s="18">
        <v>0</v>
      </c>
      <c r="K191" s="19">
        <v>29</v>
      </c>
    </row>
    <row r="192" spans="1:11" ht="14" x14ac:dyDescent="0.3">
      <c r="A192" s="27"/>
      <c r="B192" s="18">
        <v>0</v>
      </c>
      <c r="C192" s="18">
        <v>0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8">
        <v>0</v>
      </c>
      <c r="K192" s="19">
        <v>0</v>
      </c>
    </row>
    <row r="193" spans="1:11" ht="14" x14ac:dyDescent="0.3">
      <c r="A193" s="27" t="s">
        <v>28</v>
      </c>
      <c r="B193" s="18">
        <v>28</v>
      </c>
      <c r="C193" s="18">
        <v>10</v>
      </c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0</v>
      </c>
      <c r="J193" s="18">
        <v>0</v>
      </c>
      <c r="K193" s="19">
        <v>38</v>
      </c>
    </row>
    <row r="194" spans="1:11" ht="14" x14ac:dyDescent="0.3">
      <c r="A194" s="27"/>
      <c r="B194" s="18">
        <v>0</v>
      </c>
      <c r="C194" s="18">
        <v>0</v>
      </c>
      <c r="D194" s="18">
        <v>0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18">
        <v>0</v>
      </c>
      <c r="K194" s="19">
        <v>0</v>
      </c>
    </row>
    <row r="195" spans="1:11" ht="14" x14ac:dyDescent="0.3">
      <c r="A195" s="27" t="s">
        <v>29</v>
      </c>
      <c r="B195" s="18">
        <v>37</v>
      </c>
      <c r="C195" s="18">
        <v>17</v>
      </c>
      <c r="D195" s="18">
        <v>0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8">
        <v>0</v>
      </c>
      <c r="K195" s="19">
        <v>54</v>
      </c>
    </row>
    <row r="196" spans="1:11" ht="14" x14ac:dyDescent="0.3">
      <c r="A196" s="27"/>
      <c r="B196" s="18">
        <v>0</v>
      </c>
      <c r="C196" s="18">
        <v>0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8">
        <v>0</v>
      </c>
      <c r="K196" s="19">
        <v>0</v>
      </c>
    </row>
    <row r="197" spans="1:11" ht="14" x14ac:dyDescent="0.3">
      <c r="A197" s="27" t="s">
        <v>30</v>
      </c>
      <c r="B197" s="18">
        <v>45</v>
      </c>
      <c r="C197" s="18">
        <v>22</v>
      </c>
      <c r="D197" s="18">
        <v>1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8">
        <v>0</v>
      </c>
      <c r="K197" s="19">
        <v>68</v>
      </c>
    </row>
    <row r="198" spans="1:11" ht="14" x14ac:dyDescent="0.3">
      <c r="A198" s="27"/>
      <c r="B198" s="18">
        <v>0</v>
      </c>
      <c r="C198" s="18">
        <v>0</v>
      </c>
      <c r="D198" s="18">
        <v>0</v>
      </c>
      <c r="E198" s="18">
        <v>0</v>
      </c>
      <c r="F198" s="18">
        <v>0</v>
      </c>
      <c r="G198" s="18">
        <v>0</v>
      </c>
      <c r="H198" s="18">
        <v>0</v>
      </c>
      <c r="I198" s="18">
        <v>0</v>
      </c>
      <c r="J198" s="18">
        <v>0</v>
      </c>
      <c r="K198" s="19">
        <v>0</v>
      </c>
    </row>
    <row r="199" spans="1:11" ht="14" x14ac:dyDescent="0.3">
      <c r="A199" s="27" t="s">
        <v>31</v>
      </c>
      <c r="B199" s="18">
        <v>32</v>
      </c>
      <c r="C199" s="18">
        <v>13</v>
      </c>
      <c r="D199" s="18">
        <v>1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8">
        <v>0</v>
      </c>
      <c r="K199" s="19">
        <v>46</v>
      </c>
    </row>
    <row r="200" spans="1:11" ht="14" x14ac:dyDescent="0.3">
      <c r="A200" s="27"/>
      <c r="B200" s="18">
        <v>0</v>
      </c>
      <c r="C200" s="18">
        <v>0</v>
      </c>
      <c r="D200" s="18">
        <v>0</v>
      </c>
      <c r="E200" s="18">
        <v>0</v>
      </c>
      <c r="F200" s="18">
        <v>0</v>
      </c>
      <c r="G200" s="18">
        <v>0</v>
      </c>
      <c r="H200" s="18">
        <v>0</v>
      </c>
      <c r="I200" s="18">
        <v>0</v>
      </c>
      <c r="J200" s="18">
        <v>0</v>
      </c>
      <c r="K200" s="19">
        <v>0</v>
      </c>
    </row>
    <row r="201" spans="1:11" ht="14" x14ac:dyDescent="0.3">
      <c r="A201" s="27" t="s">
        <v>32</v>
      </c>
      <c r="B201" s="18">
        <v>30</v>
      </c>
      <c r="C201" s="18">
        <v>4</v>
      </c>
      <c r="D201" s="18">
        <v>3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8">
        <v>0</v>
      </c>
      <c r="K201" s="19">
        <v>37</v>
      </c>
    </row>
    <row r="202" spans="1:11" ht="14" x14ac:dyDescent="0.3">
      <c r="A202" s="27"/>
      <c r="B202" s="18">
        <v>0</v>
      </c>
      <c r="C202" s="18">
        <v>0</v>
      </c>
      <c r="D202" s="18">
        <v>0</v>
      </c>
      <c r="E202" s="18">
        <v>0</v>
      </c>
      <c r="F202" s="18">
        <v>0</v>
      </c>
      <c r="G202" s="18">
        <v>0</v>
      </c>
      <c r="H202" s="18">
        <v>0</v>
      </c>
      <c r="I202" s="18">
        <v>0</v>
      </c>
      <c r="J202" s="18">
        <v>0</v>
      </c>
      <c r="K202" s="19">
        <v>0</v>
      </c>
    </row>
    <row r="203" spans="1:11" ht="15.75" customHeight="1" x14ac:dyDescent="0.3">
      <c r="A203" s="27" t="s">
        <v>33</v>
      </c>
      <c r="B203" s="18">
        <v>42</v>
      </c>
      <c r="C203" s="18">
        <v>9</v>
      </c>
      <c r="D203" s="18">
        <v>0</v>
      </c>
      <c r="E203" s="18">
        <v>0</v>
      </c>
      <c r="F203" s="18">
        <v>0</v>
      </c>
      <c r="G203" s="18">
        <v>0</v>
      </c>
      <c r="H203" s="18">
        <v>0</v>
      </c>
      <c r="I203" s="18">
        <v>0</v>
      </c>
      <c r="J203" s="18">
        <v>0</v>
      </c>
      <c r="K203" s="19">
        <v>51</v>
      </c>
    </row>
    <row r="204" spans="1:11" ht="15.75" customHeight="1" x14ac:dyDescent="0.3">
      <c r="A204" s="27"/>
      <c r="B204" s="18">
        <v>0</v>
      </c>
      <c r="C204" s="18">
        <v>0</v>
      </c>
      <c r="D204" s="18">
        <v>0</v>
      </c>
      <c r="E204" s="18">
        <v>0</v>
      </c>
      <c r="F204" s="18">
        <v>0</v>
      </c>
      <c r="G204" s="18">
        <v>0</v>
      </c>
      <c r="H204" s="18">
        <v>0</v>
      </c>
      <c r="I204" s="18">
        <v>0</v>
      </c>
      <c r="J204" s="18">
        <v>0</v>
      </c>
      <c r="K204" s="19">
        <v>0</v>
      </c>
    </row>
    <row r="205" spans="1:11" ht="15.75" customHeight="1" x14ac:dyDescent="0.3">
      <c r="A205" s="27" t="s">
        <v>34</v>
      </c>
      <c r="B205" s="18">
        <v>54</v>
      </c>
      <c r="C205" s="18">
        <v>33</v>
      </c>
      <c r="D205" s="18">
        <v>3</v>
      </c>
      <c r="E205" s="18">
        <v>0</v>
      </c>
      <c r="F205" s="18">
        <v>0</v>
      </c>
      <c r="G205" s="18">
        <v>0</v>
      </c>
      <c r="H205" s="18">
        <v>0</v>
      </c>
      <c r="I205" s="18">
        <v>0</v>
      </c>
      <c r="J205" s="18">
        <v>0</v>
      </c>
      <c r="K205" s="19">
        <v>90</v>
      </c>
    </row>
    <row r="206" spans="1:11" ht="15.75" customHeight="1" x14ac:dyDescent="0.3">
      <c r="A206" s="27"/>
      <c r="B206" s="18">
        <v>0</v>
      </c>
      <c r="C206" s="18">
        <v>0</v>
      </c>
      <c r="D206" s="18">
        <v>0</v>
      </c>
      <c r="E206" s="18">
        <v>0</v>
      </c>
      <c r="F206" s="18">
        <v>0</v>
      </c>
      <c r="G206" s="18">
        <v>0</v>
      </c>
      <c r="H206" s="18">
        <v>0</v>
      </c>
      <c r="I206" s="18">
        <v>0</v>
      </c>
      <c r="J206" s="18">
        <v>0</v>
      </c>
      <c r="K206" s="19">
        <v>0</v>
      </c>
    </row>
    <row r="207" spans="1:11" ht="15.75" customHeight="1" x14ac:dyDescent="0.3">
      <c r="A207" s="27" t="s">
        <v>35</v>
      </c>
      <c r="B207" s="18">
        <v>71</v>
      </c>
      <c r="C207" s="18">
        <v>50</v>
      </c>
      <c r="D207" s="18">
        <v>6</v>
      </c>
      <c r="E207" s="18">
        <v>0</v>
      </c>
      <c r="F207" s="18">
        <v>0</v>
      </c>
      <c r="G207" s="18">
        <v>0</v>
      </c>
      <c r="H207" s="18">
        <v>0</v>
      </c>
      <c r="I207" s="18">
        <v>0</v>
      </c>
      <c r="J207" s="18">
        <v>0</v>
      </c>
      <c r="K207" s="19">
        <v>127</v>
      </c>
    </row>
    <row r="208" spans="1:11" ht="15.75" customHeight="1" x14ac:dyDescent="0.3">
      <c r="A208" s="29"/>
      <c r="B208" s="19">
        <v>0</v>
      </c>
      <c r="C208" s="19">
        <v>0</v>
      </c>
      <c r="D208" s="19">
        <v>0</v>
      </c>
      <c r="E208" s="19">
        <v>0</v>
      </c>
      <c r="F208" s="19">
        <v>0</v>
      </c>
      <c r="G208" s="19">
        <v>0</v>
      </c>
      <c r="H208" s="19">
        <v>0</v>
      </c>
      <c r="I208" s="19">
        <v>0</v>
      </c>
      <c r="J208" s="19">
        <v>0</v>
      </c>
      <c r="K208" s="19">
        <v>0</v>
      </c>
    </row>
    <row r="209" spans="1:11" ht="15.75" customHeight="1" x14ac:dyDescent="0.25">
      <c r="A209" s="63" t="s">
        <v>21</v>
      </c>
      <c r="B209" s="63">
        <v>420</v>
      </c>
      <c r="C209" s="63">
        <v>185</v>
      </c>
      <c r="D209" s="63">
        <v>18</v>
      </c>
      <c r="E209" s="63">
        <v>0</v>
      </c>
      <c r="F209" s="63">
        <v>0</v>
      </c>
      <c r="G209" s="63">
        <v>1</v>
      </c>
      <c r="H209" s="63">
        <v>0</v>
      </c>
      <c r="I209" s="63">
        <v>0</v>
      </c>
      <c r="J209" s="63">
        <v>0</v>
      </c>
      <c r="K209" s="63">
        <v>744</v>
      </c>
    </row>
    <row r="210" spans="1:11" ht="15.75" customHeight="1" x14ac:dyDescent="0.2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</row>
    <row r="211" spans="1:11" ht="15.75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</row>
    <row r="212" spans="1:11" ht="15.75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65" t="s">
        <v>0</v>
      </c>
      <c r="B216" s="66"/>
      <c r="C216" s="66"/>
      <c r="D216" s="66"/>
      <c r="E216" s="66"/>
      <c r="F216" s="2"/>
      <c r="G216" s="2"/>
      <c r="H216" s="2"/>
      <c r="I216" s="2"/>
      <c r="J216" s="2"/>
      <c r="K216" s="2"/>
    </row>
    <row r="217" spans="1:11" ht="15.75" customHeight="1" x14ac:dyDescent="0.3">
      <c r="A217" s="65" t="s">
        <v>1</v>
      </c>
      <c r="B217" s="66"/>
      <c r="C217" s="66"/>
      <c r="D217" s="2"/>
      <c r="E217" s="2"/>
      <c r="F217" s="2"/>
      <c r="G217" s="65" t="s">
        <v>122</v>
      </c>
      <c r="H217" s="66"/>
      <c r="I217" s="66"/>
      <c r="J217" s="1"/>
      <c r="K217" s="2"/>
    </row>
    <row r="218" spans="1:11" ht="15.75" customHeight="1" x14ac:dyDescent="0.3">
      <c r="A218" s="65" t="s">
        <v>39</v>
      </c>
      <c r="B218" s="66"/>
      <c r="C218" s="66"/>
      <c r="D218" s="66"/>
      <c r="E218" s="66"/>
      <c r="F218" s="2"/>
      <c r="G218" s="65" t="s">
        <v>4</v>
      </c>
      <c r="H218" s="66"/>
      <c r="I218" s="66"/>
      <c r="J218" s="66"/>
      <c r="K218" s="2"/>
    </row>
    <row r="219" spans="1:11" ht="15.75" customHeight="1" x14ac:dyDescent="0.3">
      <c r="A219" s="65" t="s">
        <v>5</v>
      </c>
      <c r="B219" s="66"/>
      <c r="C219" s="66"/>
      <c r="D219" s="66"/>
      <c r="E219" s="66"/>
      <c r="F219" s="2"/>
      <c r="G219" s="65" t="s">
        <v>6</v>
      </c>
      <c r="H219" s="66"/>
      <c r="I219" s="66"/>
      <c r="J219" s="6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60" t="s">
        <v>7</v>
      </c>
      <c r="B221" s="61"/>
      <c r="C221" s="61"/>
      <c r="D221" s="61"/>
      <c r="E221" s="61"/>
      <c r="F221" s="61"/>
      <c r="G221" s="61"/>
      <c r="H221" s="61"/>
      <c r="I221" s="61"/>
      <c r="J221" s="61"/>
      <c r="K221" s="62"/>
    </row>
    <row r="222" spans="1:11" ht="15.75" customHeight="1" x14ac:dyDescent="0.3">
      <c r="A222" s="67" t="s">
        <v>8</v>
      </c>
      <c r="B222" s="68"/>
      <c r="C222" s="68"/>
      <c r="D222" s="68"/>
      <c r="E222" s="68"/>
      <c r="F222" s="68"/>
      <c r="G222" s="68"/>
      <c r="H222" s="68"/>
      <c r="I222" s="68"/>
      <c r="J222" s="68"/>
      <c r="K222" s="69"/>
    </row>
    <row r="223" spans="1:11" ht="15.75" customHeight="1" x14ac:dyDescent="0.3">
      <c r="A223" s="4" t="s">
        <v>9</v>
      </c>
      <c r="B223" s="5"/>
      <c r="C223" s="5"/>
      <c r="D223" s="5"/>
      <c r="E223" s="70" t="s">
        <v>10</v>
      </c>
      <c r="F223" s="71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3">
      <c r="A225" s="25" t="s">
        <v>22</v>
      </c>
      <c r="B225" s="28"/>
      <c r="C225" s="28"/>
      <c r="D225" s="28"/>
      <c r="E225" s="28"/>
      <c r="F225" s="28"/>
      <c r="G225" s="28"/>
      <c r="H225" s="28"/>
      <c r="I225" s="28"/>
      <c r="J225" s="28"/>
      <c r="K225" s="59">
        <f>(K10+K53+K96+K139+K182)/5</f>
        <v>-172</v>
      </c>
    </row>
    <row r="226" spans="1:11" ht="15.75" customHeight="1" x14ac:dyDescent="0.3">
      <c r="A226" s="27" t="s">
        <v>23</v>
      </c>
      <c r="B226" s="18"/>
      <c r="C226" s="18"/>
      <c r="D226" s="18"/>
      <c r="E226" s="18"/>
      <c r="F226" s="18"/>
      <c r="G226" s="18"/>
      <c r="H226" s="18"/>
      <c r="I226" s="18"/>
      <c r="J226" s="18"/>
      <c r="K226" s="59">
        <f t="shared" ref="K226:K250" si="0">(K11+K54+K97+K140+K183)/5</f>
        <v>0</v>
      </c>
    </row>
    <row r="227" spans="1:11" ht="15.75" customHeight="1" x14ac:dyDescent="0.3">
      <c r="A227" s="27"/>
      <c r="B227" s="18"/>
      <c r="C227" s="18"/>
      <c r="D227" s="18"/>
      <c r="E227" s="18"/>
      <c r="F227" s="18"/>
      <c r="G227" s="18"/>
      <c r="H227" s="18"/>
      <c r="I227" s="18"/>
      <c r="J227" s="18"/>
      <c r="K227" s="59">
        <f t="shared" si="0"/>
        <v>0</v>
      </c>
    </row>
    <row r="228" spans="1:11" ht="15.75" customHeight="1" x14ac:dyDescent="0.3">
      <c r="A228" s="27" t="s">
        <v>24</v>
      </c>
      <c r="B228" s="18">
        <f>(B13+B56+B99+B142+B185)/5</f>
        <v>9.1999999999999993</v>
      </c>
      <c r="C228" s="18">
        <f t="shared" ref="C228:J228" si="1">(C13+C56+C99+C142+C185)/5</f>
        <v>7.8</v>
      </c>
      <c r="D228" s="18">
        <f t="shared" si="1"/>
        <v>0.8</v>
      </c>
      <c r="E228" s="18">
        <f t="shared" si="1"/>
        <v>0</v>
      </c>
      <c r="F228" s="18">
        <f t="shared" si="1"/>
        <v>0</v>
      </c>
      <c r="G228" s="18">
        <f t="shared" si="1"/>
        <v>0</v>
      </c>
      <c r="H228" s="18">
        <f t="shared" si="1"/>
        <v>0</v>
      </c>
      <c r="I228" s="18">
        <f t="shared" si="1"/>
        <v>0</v>
      </c>
      <c r="J228" s="18">
        <f t="shared" si="1"/>
        <v>0</v>
      </c>
      <c r="K228" s="59">
        <f t="shared" si="0"/>
        <v>17.8</v>
      </c>
    </row>
    <row r="229" spans="1:11" ht="15.75" customHeight="1" x14ac:dyDescent="0.3">
      <c r="A229" s="27"/>
      <c r="B229" s="18">
        <f t="shared" ref="B229:J250" si="2">(B14+B57+B100+B143+B186)/5</f>
        <v>0</v>
      </c>
      <c r="C229" s="18">
        <f t="shared" si="2"/>
        <v>0</v>
      </c>
      <c r="D229" s="18">
        <f t="shared" si="2"/>
        <v>0</v>
      </c>
      <c r="E229" s="18">
        <f t="shared" si="2"/>
        <v>0</v>
      </c>
      <c r="F229" s="18">
        <f t="shared" si="2"/>
        <v>0</v>
      </c>
      <c r="G229" s="18">
        <f t="shared" si="2"/>
        <v>0</v>
      </c>
      <c r="H229" s="18">
        <f t="shared" si="2"/>
        <v>0</v>
      </c>
      <c r="I229" s="18">
        <f t="shared" si="2"/>
        <v>0</v>
      </c>
      <c r="J229" s="18">
        <f t="shared" si="2"/>
        <v>0</v>
      </c>
      <c r="K229" s="59">
        <f t="shared" si="0"/>
        <v>0</v>
      </c>
    </row>
    <row r="230" spans="1:11" ht="15.75" customHeight="1" x14ac:dyDescent="0.3">
      <c r="A230" s="27" t="s">
        <v>25</v>
      </c>
      <c r="B230" s="18">
        <f t="shared" si="2"/>
        <v>9.4</v>
      </c>
      <c r="C230" s="18">
        <f t="shared" si="2"/>
        <v>4.8</v>
      </c>
      <c r="D230" s="18">
        <f t="shared" si="2"/>
        <v>0.4</v>
      </c>
      <c r="E230" s="18">
        <f t="shared" si="2"/>
        <v>0</v>
      </c>
      <c r="F230" s="18">
        <f t="shared" si="2"/>
        <v>0</v>
      </c>
      <c r="G230" s="18">
        <f t="shared" si="2"/>
        <v>0</v>
      </c>
      <c r="H230" s="18">
        <f t="shared" si="2"/>
        <v>0</v>
      </c>
      <c r="I230" s="18">
        <f t="shared" si="2"/>
        <v>0</v>
      </c>
      <c r="J230" s="18">
        <f t="shared" si="2"/>
        <v>0</v>
      </c>
      <c r="K230" s="59">
        <f t="shared" si="0"/>
        <v>14.6</v>
      </c>
    </row>
    <row r="231" spans="1:11" ht="15.75" customHeight="1" x14ac:dyDescent="0.3">
      <c r="A231" s="27"/>
      <c r="B231" s="18">
        <f t="shared" si="2"/>
        <v>0</v>
      </c>
      <c r="C231" s="18">
        <f t="shared" si="2"/>
        <v>0</v>
      </c>
      <c r="D231" s="18">
        <f t="shared" si="2"/>
        <v>0</v>
      </c>
      <c r="E231" s="18">
        <f t="shared" si="2"/>
        <v>0</v>
      </c>
      <c r="F231" s="18">
        <f t="shared" si="2"/>
        <v>0</v>
      </c>
      <c r="G231" s="18">
        <f t="shared" si="2"/>
        <v>0</v>
      </c>
      <c r="H231" s="18">
        <f t="shared" si="2"/>
        <v>0</v>
      </c>
      <c r="I231" s="18">
        <f t="shared" si="2"/>
        <v>0</v>
      </c>
      <c r="J231" s="18">
        <f t="shared" si="2"/>
        <v>0</v>
      </c>
      <c r="K231" s="59">
        <f t="shared" si="0"/>
        <v>0</v>
      </c>
    </row>
    <row r="232" spans="1:11" ht="15.75" customHeight="1" x14ac:dyDescent="0.3">
      <c r="A232" s="27" t="s">
        <v>26</v>
      </c>
      <c r="B232" s="18">
        <f t="shared" si="2"/>
        <v>12.6</v>
      </c>
      <c r="C232" s="18">
        <f t="shared" si="2"/>
        <v>3</v>
      </c>
      <c r="D232" s="18">
        <f t="shared" si="2"/>
        <v>0.6</v>
      </c>
      <c r="E232" s="18">
        <f t="shared" si="2"/>
        <v>0</v>
      </c>
      <c r="F232" s="18">
        <f t="shared" si="2"/>
        <v>0</v>
      </c>
      <c r="G232" s="18">
        <f t="shared" si="2"/>
        <v>0</v>
      </c>
      <c r="H232" s="18">
        <f t="shared" si="2"/>
        <v>0</v>
      </c>
      <c r="I232" s="18">
        <f t="shared" si="2"/>
        <v>0</v>
      </c>
      <c r="J232" s="18">
        <f t="shared" si="2"/>
        <v>0</v>
      </c>
      <c r="K232" s="59">
        <f t="shared" si="0"/>
        <v>16.2</v>
      </c>
    </row>
    <row r="233" spans="1:11" ht="15.75" customHeight="1" x14ac:dyDescent="0.3">
      <c r="A233" s="27"/>
      <c r="B233" s="18">
        <f t="shared" si="2"/>
        <v>0</v>
      </c>
      <c r="C233" s="18">
        <f t="shared" si="2"/>
        <v>0</v>
      </c>
      <c r="D233" s="18">
        <f t="shared" si="2"/>
        <v>0</v>
      </c>
      <c r="E233" s="18">
        <f t="shared" si="2"/>
        <v>0</v>
      </c>
      <c r="F233" s="18">
        <f t="shared" si="2"/>
        <v>0</v>
      </c>
      <c r="G233" s="18">
        <f t="shared" si="2"/>
        <v>0</v>
      </c>
      <c r="H233" s="18">
        <f t="shared" si="2"/>
        <v>0</v>
      </c>
      <c r="I233" s="18">
        <f t="shared" si="2"/>
        <v>0</v>
      </c>
      <c r="J233" s="18">
        <f t="shared" si="2"/>
        <v>0</v>
      </c>
      <c r="K233" s="59">
        <f t="shared" si="0"/>
        <v>0</v>
      </c>
    </row>
    <row r="234" spans="1:11" ht="15.75" customHeight="1" x14ac:dyDescent="0.3">
      <c r="A234" s="27" t="s">
        <v>27</v>
      </c>
      <c r="B234" s="18">
        <f t="shared" si="2"/>
        <v>9.4</v>
      </c>
      <c r="C234" s="18">
        <f t="shared" si="2"/>
        <v>4.8</v>
      </c>
      <c r="D234" s="18">
        <f t="shared" si="2"/>
        <v>0</v>
      </c>
      <c r="E234" s="18">
        <f t="shared" si="2"/>
        <v>0</v>
      </c>
      <c r="F234" s="18">
        <f t="shared" si="2"/>
        <v>0</v>
      </c>
      <c r="G234" s="18">
        <f t="shared" si="2"/>
        <v>0.2</v>
      </c>
      <c r="H234" s="18">
        <f t="shared" si="2"/>
        <v>0</v>
      </c>
      <c r="I234" s="18">
        <f t="shared" si="2"/>
        <v>0</v>
      </c>
      <c r="J234" s="18">
        <f t="shared" si="2"/>
        <v>0</v>
      </c>
      <c r="K234" s="59">
        <f t="shared" si="0"/>
        <v>14.4</v>
      </c>
    </row>
    <row r="235" spans="1:11" ht="15.75" customHeight="1" x14ac:dyDescent="0.3">
      <c r="A235" s="27"/>
      <c r="B235" s="18">
        <f t="shared" si="2"/>
        <v>0</v>
      </c>
      <c r="C235" s="18">
        <f t="shared" si="2"/>
        <v>0</v>
      </c>
      <c r="D235" s="18">
        <f t="shared" si="2"/>
        <v>0</v>
      </c>
      <c r="E235" s="18">
        <f t="shared" si="2"/>
        <v>0</v>
      </c>
      <c r="F235" s="18">
        <f t="shared" si="2"/>
        <v>0</v>
      </c>
      <c r="G235" s="18">
        <f t="shared" si="2"/>
        <v>0</v>
      </c>
      <c r="H235" s="18">
        <f t="shared" si="2"/>
        <v>0</v>
      </c>
      <c r="I235" s="18">
        <f t="shared" si="2"/>
        <v>0</v>
      </c>
      <c r="J235" s="18">
        <f t="shared" si="2"/>
        <v>0</v>
      </c>
      <c r="K235" s="59">
        <f t="shared" si="0"/>
        <v>0</v>
      </c>
    </row>
    <row r="236" spans="1:11" ht="15.75" customHeight="1" x14ac:dyDescent="0.3">
      <c r="A236" s="27" t="s">
        <v>28</v>
      </c>
      <c r="B236" s="18">
        <f t="shared" si="2"/>
        <v>16.2</v>
      </c>
      <c r="C236" s="18">
        <f t="shared" si="2"/>
        <v>8.6</v>
      </c>
      <c r="D236" s="18">
        <f t="shared" si="2"/>
        <v>0.6</v>
      </c>
      <c r="E236" s="18">
        <f t="shared" si="2"/>
        <v>0</v>
      </c>
      <c r="F236" s="18">
        <f t="shared" si="2"/>
        <v>0</v>
      </c>
      <c r="G236" s="18">
        <f t="shared" si="2"/>
        <v>0</v>
      </c>
      <c r="H236" s="18">
        <f t="shared" si="2"/>
        <v>0</v>
      </c>
      <c r="I236" s="18">
        <f t="shared" si="2"/>
        <v>0</v>
      </c>
      <c r="J236" s="18">
        <f t="shared" si="2"/>
        <v>0</v>
      </c>
      <c r="K236" s="59">
        <f t="shared" si="0"/>
        <v>25.4</v>
      </c>
    </row>
    <row r="237" spans="1:11" ht="15.75" customHeight="1" x14ac:dyDescent="0.3">
      <c r="A237" s="27"/>
      <c r="B237" s="18">
        <f t="shared" si="2"/>
        <v>0</v>
      </c>
      <c r="C237" s="18">
        <f t="shared" si="2"/>
        <v>0</v>
      </c>
      <c r="D237" s="18">
        <f t="shared" si="2"/>
        <v>0</v>
      </c>
      <c r="E237" s="18">
        <f t="shared" si="2"/>
        <v>0</v>
      </c>
      <c r="F237" s="18">
        <f t="shared" si="2"/>
        <v>0</v>
      </c>
      <c r="G237" s="18">
        <f t="shared" si="2"/>
        <v>0</v>
      </c>
      <c r="H237" s="18">
        <f t="shared" si="2"/>
        <v>0</v>
      </c>
      <c r="I237" s="18">
        <f t="shared" si="2"/>
        <v>0</v>
      </c>
      <c r="J237" s="18">
        <f t="shared" si="2"/>
        <v>0</v>
      </c>
      <c r="K237" s="59">
        <f t="shared" si="0"/>
        <v>0</v>
      </c>
    </row>
    <row r="238" spans="1:11" ht="15.75" customHeight="1" x14ac:dyDescent="0.3">
      <c r="A238" s="27" t="s">
        <v>29</v>
      </c>
      <c r="B238" s="18">
        <f t="shared" si="2"/>
        <v>26.6</v>
      </c>
      <c r="C238" s="18">
        <f t="shared" si="2"/>
        <v>33.799999999999997</v>
      </c>
      <c r="D238" s="18">
        <f t="shared" si="2"/>
        <v>1.4</v>
      </c>
      <c r="E238" s="18">
        <f t="shared" si="2"/>
        <v>0</v>
      </c>
      <c r="F238" s="18">
        <f t="shared" si="2"/>
        <v>0</v>
      </c>
      <c r="G238" s="18">
        <f t="shared" si="2"/>
        <v>0</v>
      </c>
      <c r="H238" s="18">
        <f t="shared" si="2"/>
        <v>0</v>
      </c>
      <c r="I238" s="18">
        <f t="shared" si="2"/>
        <v>0</v>
      </c>
      <c r="J238" s="18">
        <f t="shared" si="2"/>
        <v>0</v>
      </c>
      <c r="K238" s="59">
        <f t="shared" si="0"/>
        <v>61.8</v>
      </c>
    </row>
    <row r="239" spans="1:11" ht="15.75" customHeight="1" x14ac:dyDescent="0.3">
      <c r="A239" s="27"/>
      <c r="B239" s="18">
        <f t="shared" si="2"/>
        <v>0</v>
      </c>
      <c r="C239" s="18">
        <f t="shared" si="2"/>
        <v>0</v>
      </c>
      <c r="D239" s="18">
        <f t="shared" si="2"/>
        <v>0</v>
      </c>
      <c r="E239" s="18">
        <f t="shared" si="2"/>
        <v>0</v>
      </c>
      <c r="F239" s="18">
        <f t="shared" si="2"/>
        <v>0</v>
      </c>
      <c r="G239" s="18">
        <f t="shared" si="2"/>
        <v>0</v>
      </c>
      <c r="H239" s="18">
        <f t="shared" si="2"/>
        <v>0</v>
      </c>
      <c r="I239" s="18">
        <f t="shared" si="2"/>
        <v>0</v>
      </c>
      <c r="J239" s="18">
        <f t="shared" si="2"/>
        <v>0</v>
      </c>
      <c r="K239" s="59">
        <f t="shared" si="0"/>
        <v>0</v>
      </c>
    </row>
    <row r="240" spans="1:11" ht="15.75" customHeight="1" x14ac:dyDescent="0.3">
      <c r="A240" s="27" t="s">
        <v>30</v>
      </c>
      <c r="B240" s="18">
        <f t="shared" si="2"/>
        <v>29</v>
      </c>
      <c r="C240" s="18">
        <f t="shared" si="2"/>
        <v>45</v>
      </c>
      <c r="D240" s="18">
        <f t="shared" si="2"/>
        <v>4.5999999999999996</v>
      </c>
      <c r="E240" s="18">
        <f t="shared" si="2"/>
        <v>0</v>
      </c>
      <c r="F240" s="18">
        <f t="shared" si="2"/>
        <v>0</v>
      </c>
      <c r="G240" s="18">
        <f t="shared" si="2"/>
        <v>0</v>
      </c>
      <c r="H240" s="18">
        <f t="shared" si="2"/>
        <v>0</v>
      </c>
      <c r="I240" s="18">
        <f t="shared" si="2"/>
        <v>0</v>
      </c>
      <c r="J240" s="18">
        <f t="shared" si="2"/>
        <v>0</v>
      </c>
      <c r="K240" s="59">
        <f t="shared" si="0"/>
        <v>78.599999999999994</v>
      </c>
    </row>
    <row r="241" spans="1:11" ht="15.75" customHeight="1" x14ac:dyDescent="0.3">
      <c r="A241" s="27"/>
      <c r="B241" s="18">
        <f t="shared" si="2"/>
        <v>0</v>
      </c>
      <c r="C241" s="18">
        <f t="shared" si="2"/>
        <v>0</v>
      </c>
      <c r="D241" s="18">
        <f t="shared" si="2"/>
        <v>0</v>
      </c>
      <c r="E241" s="18">
        <f t="shared" si="2"/>
        <v>0</v>
      </c>
      <c r="F241" s="18">
        <f t="shared" si="2"/>
        <v>0</v>
      </c>
      <c r="G241" s="18">
        <f t="shared" si="2"/>
        <v>0</v>
      </c>
      <c r="H241" s="18">
        <f t="shared" si="2"/>
        <v>0</v>
      </c>
      <c r="I241" s="18">
        <f t="shared" si="2"/>
        <v>0</v>
      </c>
      <c r="J241" s="18">
        <f t="shared" si="2"/>
        <v>0</v>
      </c>
      <c r="K241" s="59">
        <f t="shared" si="0"/>
        <v>0</v>
      </c>
    </row>
    <row r="242" spans="1:11" ht="15.75" customHeight="1" x14ac:dyDescent="0.3">
      <c r="A242" s="27" t="s">
        <v>31</v>
      </c>
      <c r="B242" s="18">
        <f t="shared" si="2"/>
        <v>19.8</v>
      </c>
      <c r="C242" s="18">
        <f t="shared" si="2"/>
        <v>21</v>
      </c>
      <c r="D242" s="18">
        <f t="shared" si="2"/>
        <v>1.6</v>
      </c>
      <c r="E242" s="18">
        <f t="shared" si="2"/>
        <v>0.2</v>
      </c>
      <c r="F242" s="18">
        <f t="shared" si="2"/>
        <v>0</v>
      </c>
      <c r="G242" s="18">
        <f t="shared" si="2"/>
        <v>0</v>
      </c>
      <c r="H242" s="18">
        <f t="shared" si="2"/>
        <v>0</v>
      </c>
      <c r="I242" s="18">
        <f t="shared" si="2"/>
        <v>0</v>
      </c>
      <c r="J242" s="18">
        <f t="shared" si="2"/>
        <v>0</v>
      </c>
      <c r="K242" s="59">
        <f t="shared" si="0"/>
        <v>42.6</v>
      </c>
    </row>
    <row r="243" spans="1:11" ht="15.75" customHeight="1" x14ac:dyDescent="0.3">
      <c r="A243" s="27"/>
      <c r="B243" s="18">
        <f t="shared" si="2"/>
        <v>0</v>
      </c>
      <c r="C243" s="18">
        <f t="shared" si="2"/>
        <v>0</v>
      </c>
      <c r="D243" s="18">
        <f t="shared" si="2"/>
        <v>0</v>
      </c>
      <c r="E243" s="18">
        <f t="shared" si="2"/>
        <v>0</v>
      </c>
      <c r="F243" s="18">
        <f t="shared" si="2"/>
        <v>0</v>
      </c>
      <c r="G243" s="18">
        <f t="shared" si="2"/>
        <v>0</v>
      </c>
      <c r="H243" s="18">
        <f t="shared" si="2"/>
        <v>0</v>
      </c>
      <c r="I243" s="18">
        <f t="shared" si="2"/>
        <v>0</v>
      </c>
      <c r="J243" s="18">
        <f t="shared" si="2"/>
        <v>0</v>
      </c>
      <c r="K243" s="59">
        <f t="shared" si="0"/>
        <v>0</v>
      </c>
    </row>
    <row r="244" spans="1:11" ht="15.75" customHeight="1" x14ac:dyDescent="0.3">
      <c r="A244" s="27" t="s">
        <v>32</v>
      </c>
      <c r="B244" s="18">
        <f t="shared" si="2"/>
        <v>16.399999999999999</v>
      </c>
      <c r="C244" s="18">
        <f t="shared" si="2"/>
        <v>6</v>
      </c>
      <c r="D244" s="18">
        <f t="shared" si="2"/>
        <v>1.2</v>
      </c>
      <c r="E244" s="18">
        <f t="shared" si="2"/>
        <v>0</v>
      </c>
      <c r="F244" s="18">
        <f t="shared" si="2"/>
        <v>0</v>
      </c>
      <c r="G244" s="18">
        <f t="shared" si="2"/>
        <v>0</v>
      </c>
      <c r="H244" s="18">
        <f t="shared" si="2"/>
        <v>0</v>
      </c>
      <c r="I244" s="18">
        <f t="shared" si="2"/>
        <v>0</v>
      </c>
      <c r="J244" s="18">
        <f t="shared" si="2"/>
        <v>0</v>
      </c>
      <c r="K244" s="59">
        <f t="shared" si="0"/>
        <v>23.6</v>
      </c>
    </row>
    <row r="245" spans="1:11" ht="15.75" customHeight="1" x14ac:dyDescent="0.3">
      <c r="A245" s="27"/>
      <c r="B245" s="18">
        <f t="shared" si="2"/>
        <v>0</v>
      </c>
      <c r="C245" s="18">
        <f t="shared" si="2"/>
        <v>0</v>
      </c>
      <c r="D245" s="18">
        <f t="shared" si="2"/>
        <v>0</v>
      </c>
      <c r="E245" s="18">
        <f t="shared" si="2"/>
        <v>0</v>
      </c>
      <c r="F245" s="18">
        <f t="shared" si="2"/>
        <v>0</v>
      </c>
      <c r="G245" s="18">
        <f t="shared" si="2"/>
        <v>0</v>
      </c>
      <c r="H245" s="18">
        <f t="shared" si="2"/>
        <v>0</v>
      </c>
      <c r="I245" s="18">
        <f t="shared" si="2"/>
        <v>0</v>
      </c>
      <c r="J245" s="18">
        <f t="shared" si="2"/>
        <v>0</v>
      </c>
      <c r="K245" s="59">
        <f t="shared" si="0"/>
        <v>0</v>
      </c>
    </row>
    <row r="246" spans="1:11" ht="15.75" customHeight="1" x14ac:dyDescent="0.3">
      <c r="A246" s="27" t="s">
        <v>33</v>
      </c>
      <c r="B246" s="18">
        <f t="shared" si="2"/>
        <v>15.6</v>
      </c>
      <c r="C246" s="18">
        <f t="shared" si="2"/>
        <v>3.4</v>
      </c>
      <c r="D246" s="18">
        <f t="shared" si="2"/>
        <v>0.2</v>
      </c>
      <c r="E246" s="18">
        <f t="shared" si="2"/>
        <v>0</v>
      </c>
      <c r="F246" s="18">
        <f t="shared" si="2"/>
        <v>0</v>
      </c>
      <c r="G246" s="18">
        <f t="shared" si="2"/>
        <v>0</v>
      </c>
      <c r="H246" s="18">
        <f t="shared" si="2"/>
        <v>0</v>
      </c>
      <c r="I246" s="18">
        <f t="shared" si="2"/>
        <v>0</v>
      </c>
      <c r="J246" s="18">
        <f t="shared" si="2"/>
        <v>0</v>
      </c>
      <c r="K246" s="59">
        <f t="shared" si="0"/>
        <v>19.2</v>
      </c>
    </row>
    <row r="247" spans="1:11" ht="15.75" customHeight="1" x14ac:dyDescent="0.3">
      <c r="A247" s="27"/>
      <c r="B247" s="18">
        <f t="shared" si="2"/>
        <v>0</v>
      </c>
      <c r="C247" s="18">
        <f t="shared" si="2"/>
        <v>0</v>
      </c>
      <c r="D247" s="18">
        <f t="shared" si="2"/>
        <v>0</v>
      </c>
      <c r="E247" s="18">
        <f t="shared" si="2"/>
        <v>0</v>
      </c>
      <c r="F247" s="18">
        <f t="shared" si="2"/>
        <v>0</v>
      </c>
      <c r="G247" s="18">
        <f t="shared" si="2"/>
        <v>0</v>
      </c>
      <c r="H247" s="18">
        <f t="shared" si="2"/>
        <v>0</v>
      </c>
      <c r="I247" s="18">
        <f t="shared" si="2"/>
        <v>0</v>
      </c>
      <c r="J247" s="18">
        <f t="shared" si="2"/>
        <v>0</v>
      </c>
      <c r="K247" s="59">
        <f t="shared" si="0"/>
        <v>0</v>
      </c>
    </row>
    <row r="248" spans="1:11" ht="15.75" customHeight="1" x14ac:dyDescent="0.3">
      <c r="A248" s="27" t="s">
        <v>34</v>
      </c>
      <c r="B248" s="18">
        <f t="shared" si="2"/>
        <v>21</v>
      </c>
      <c r="C248" s="18">
        <f t="shared" si="2"/>
        <v>11.2</v>
      </c>
      <c r="D248" s="18">
        <f t="shared" si="2"/>
        <v>0.8</v>
      </c>
      <c r="E248" s="18">
        <f t="shared" si="2"/>
        <v>0</v>
      </c>
      <c r="F248" s="18">
        <f t="shared" si="2"/>
        <v>0</v>
      </c>
      <c r="G248" s="18">
        <f t="shared" si="2"/>
        <v>0</v>
      </c>
      <c r="H248" s="18">
        <f t="shared" si="2"/>
        <v>0</v>
      </c>
      <c r="I248" s="18">
        <f t="shared" si="2"/>
        <v>0</v>
      </c>
      <c r="J248" s="18">
        <f t="shared" si="2"/>
        <v>0</v>
      </c>
      <c r="K248" s="59">
        <f t="shared" si="0"/>
        <v>33</v>
      </c>
    </row>
    <row r="249" spans="1:11" ht="15.75" customHeight="1" x14ac:dyDescent="0.3">
      <c r="A249" s="27"/>
      <c r="B249" s="18">
        <f t="shared" si="2"/>
        <v>0</v>
      </c>
      <c r="C249" s="18">
        <f t="shared" si="2"/>
        <v>0</v>
      </c>
      <c r="D249" s="18">
        <f t="shared" si="2"/>
        <v>0</v>
      </c>
      <c r="E249" s="18">
        <f t="shared" si="2"/>
        <v>0</v>
      </c>
      <c r="F249" s="18">
        <f t="shared" si="2"/>
        <v>0</v>
      </c>
      <c r="G249" s="18">
        <f t="shared" si="2"/>
        <v>0</v>
      </c>
      <c r="H249" s="18">
        <f t="shared" si="2"/>
        <v>0</v>
      </c>
      <c r="I249" s="18">
        <f t="shared" si="2"/>
        <v>0</v>
      </c>
      <c r="J249" s="18">
        <f t="shared" si="2"/>
        <v>0</v>
      </c>
      <c r="K249" s="59">
        <f t="shared" si="0"/>
        <v>0</v>
      </c>
    </row>
    <row r="250" spans="1:11" ht="15.75" customHeight="1" x14ac:dyDescent="0.3">
      <c r="A250" s="27" t="s">
        <v>35</v>
      </c>
      <c r="B250" s="18">
        <f t="shared" si="2"/>
        <v>30.2</v>
      </c>
      <c r="C250" s="18">
        <f t="shared" si="2"/>
        <v>21.2</v>
      </c>
      <c r="D250" s="18">
        <f t="shared" si="2"/>
        <v>2.2000000000000002</v>
      </c>
      <c r="E250" s="18">
        <f t="shared" si="2"/>
        <v>0</v>
      </c>
      <c r="F250" s="18">
        <f t="shared" si="2"/>
        <v>0</v>
      </c>
      <c r="G250" s="18">
        <f t="shared" si="2"/>
        <v>0</v>
      </c>
      <c r="H250" s="18">
        <f t="shared" si="2"/>
        <v>0</v>
      </c>
      <c r="I250" s="18">
        <f t="shared" si="2"/>
        <v>0</v>
      </c>
      <c r="J250" s="18">
        <f t="shared" si="2"/>
        <v>0</v>
      </c>
      <c r="K250" s="59">
        <f t="shared" si="0"/>
        <v>53.6</v>
      </c>
    </row>
    <row r="251" spans="1:11" ht="15.75" customHeight="1" x14ac:dyDescent="0.3">
      <c r="A251" s="29"/>
      <c r="B251" s="19"/>
      <c r="C251" s="19"/>
      <c r="D251" s="19"/>
      <c r="E251" s="19"/>
      <c r="F251" s="19"/>
      <c r="G251" s="19"/>
      <c r="H251" s="19"/>
      <c r="I251" s="19"/>
      <c r="J251" s="19"/>
      <c r="K251" s="19"/>
    </row>
    <row r="252" spans="1:11" ht="15.75" customHeight="1" x14ac:dyDescent="0.25">
      <c r="A252" s="63" t="s">
        <v>21</v>
      </c>
      <c r="B252" s="63">
        <f>SUM(B228:B250)</f>
        <v>215.4</v>
      </c>
      <c r="C252" s="63">
        <f t="shared" ref="C252:J252" si="3">SUM(C228:C250)</f>
        <v>170.6</v>
      </c>
      <c r="D252" s="63">
        <f t="shared" si="3"/>
        <v>14.399999999999999</v>
      </c>
      <c r="E252" s="63">
        <f t="shared" si="3"/>
        <v>0.2</v>
      </c>
      <c r="F252" s="63">
        <f t="shared" si="3"/>
        <v>0</v>
      </c>
      <c r="G252" s="63">
        <f t="shared" si="3"/>
        <v>0.2</v>
      </c>
      <c r="H252" s="63">
        <f t="shared" si="3"/>
        <v>0</v>
      </c>
      <c r="I252" s="63">
        <f t="shared" si="3"/>
        <v>0</v>
      </c>
      <c r="J252" s="63">
        <f t="shared" si="3"/>
        <v>0</v>
      </c>
      <c r="K252" s="63">
        <f>SUM(K225:K251)</f>
        <v>228.79999999999998</v>
      </c>
    </row>
    <row r="253" spans="1:11" ht="15.75" customHeight="1" x14ac:dyDescent="0.2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</row>
  </sheetData>
  <mergeCells count="126">
    <mergeCell ref="A218:E218"/>
    <mergeCell ref="G218:J218"/>
    <mergeCell ref="A219:E219"/>
    <mergeCell ref="G219:J219"/>
    <mergeCell ref="A221:K221"/>
    <mergeCell ref="A222:K222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A50:K50"/>
    <mergeCell ref="E51:F51"/>
    <mergeCell ref="A80:A81"/>
    <mergeCell ref="B80:B81"/>
    <mergeCell ref="C80:C81"/>
    <mergeCell ref="D80:D81"/>
    <mergeCell ref="E80:E81"/>
    <mergeCell ref="A216:E216"/>
    <mergeCell ref="A217:C217"/>
    <mergeCell ref="G217:I217"/>
    <mergeCell ref="A93:K93"/>
    <mergeCell ref="E94:F94"/>
    <mergeCell ref="F80:F81"/>
    <mergeCell ref="G80:G81"/>
    <mergeCell ref="A87:E87"/>
    <mergeCell ref="A88:C88"/>
    <mergeCell ref="G88:I88"/>
    <mergeCell ref="A89:E89"/>
    <mergeCell ref="A90:E90"/>
    <mergeCell ref="J80:J81"/>
    <mergeCell ref="K80:K81"/>
    <mergeCell ref="G166:G167"/>
    <mergeCell ref="H166:H167"/>
    <mergeCell ref="G174:I174"/>
    <mergeCell ref="G175:J175"/>
    <mergeCell ref="G176:J176"/>
    <mergeCell ref="I166:I167"/>
    <mergeCell ref="J166:J167"/>
    <mergeCell ref="A135:K135"/>
    <mergeCell ref="A136:K136"/>
    <mergeCell ref="E137:F137"/>
    <mergeCell ref="A166:A167"/>
    <mergeCell ref="B166:B167"/>
    <mergeCell ref="C166:C167"/>
    <mergeCell ref="D166:D167"/>
    <mergeCell ref="K166:K167"/>
    <mergeCell ref="E166:E167"/>
    <mergeCell ref="F166:F167"/>
    <mergeCell ref="A173:E173"/>
    <mergeCell ref="A174:C174"/>
    <mergeCell ref="A175:E175"/>
    <mergeCell ref="A176:E176"/>
    <mergeCell ref="A178:K178"/>
    <mergeCell ref="F209:F210"/>
    <mergeCell ref="G209:G210"/>
    <mergeCell ref="H209:H210"/>
    <mergeCell ref="I209:I210"/>
    <mergeCell ref="J209:J210"/>
    <mergeCell ref="K209:K210"/>
    <mergeCell ref="A179:K179"/>
    <mergeCell ref="E180:F180"/>
    <mergeCell ref="A209:A210"/>
    <mergeCell ref="B209:B210"/>
    <mergeCell ref="C209:C210"/>
    <mergeCell ref="D209:D210"/>
    <mergeCell ref="E209:E210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G45:I45"/>
    <mergeCell ref="G46:J46"/>
    <mergeCell ref="G47:J47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4:E44"/>
    <mergeCell ref="A45:C45"/>
    <mergeCell ref="A46:E46"/>
    <mergeCell ref="A47:E47"/>
    <mergeCell ref="A49:K49"/>
    <mergeCell ref="H80:H81"/>
    <mergeCell ref="I80:I81"/>
    <mergeCell ref="A130:E130"/>
    <mergeCell ref="A131:C131"/>
    <mergeCell ref="G131:I131"/>
    <mergeCell ref="A132:E132"/>
    <mergeCell ref="G132:J132"/>
    <mergeCell ref="A133:E133"/>
    <mergeCell ref="G133:J133"/>
    <mergeCell ref="H123:H124"/>
    <mergeCell ref="I123:I124"/>
    <mergeCell ref="J123:J124"/>
    <mergeCell ref="K123:K124"/>
    <mergeCell ref="A123:A124"/>
    <mergeCell ref="B123:B124"/>
    <mergeCell ref="C123:C124"/>
    <mergeCell ref="D123:D124"/>
    <mergeCell ref="E123:E124"/>
    <mergeCell ref="F123:F124"/>
    <mergeCell ref="G123:G124"/>
    <mergeCell ref="G89:J89"/>
    <mergeCell ref="G90:J90"/>
    <mergeCell ref="A92:K9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253"/>
  <sheetViews>
    <sheetView topLeftCell="A230" workbookViewId="0">
      <selection activeCell="K252" sqref="K252:K253"/>
    </sheetView>
  </sheetViews>
  <sheetFormatPr defaultColWidth="12.6328125" defaultRowHeight="15.75" customHeight="1" x14ac:dyDescent="0.25"/>
  <sheetData>
    <row r="1" spans="1:11" ht="14" x14ac:dyDescent="0.3">
      <c r="A1" s="65" t="s">
        <v>0</v>
      </c>
      <c r="B1" s="66"/>
      <c r="C1" s="66"/>
      <c r="D1" s="66"/>
      <c r="E1" s="66"/>
      <c r="F1" s="2"/>
      <c r="G1" s="2"/>
      <c r="H1" s="2"/>
      <c r="I1" s="2"/>
      <c r="J1" s="2"/>
      <c r="K1" s="2"/>
    </row>
    <row r="2" spans="1:11" ht="14" x14ac:dyDescent="0.3">
      <c r="A2" s="65" t="s">
        <v>1</v>
      </c>
      <c r="B2" s="66"/>
      <c r="C2" s="66"/>
      <c r="D2" s="2"/>
      <c r="E2" s="2"/>
      <c r="F2" s="2"/>
      <c r="G2" s="65" t="s">
        <v>123</v>
      </c>
      <c r="H2" s="66"/>
      <c r="I2" s="66"/>
      <c r="J2" s="1"/>
      <c r="K2" s="2"/>
    </row>
    <row r="3" spans="1:11" ht="14" x14ac:dyDescent="0.3">
      <c r="A3" s="65" t="s">
        <v>3</v>
      </c>
      <c r="B3" s="66"/>
      <c r="C3" s="66"/>
      <c r="D3" s="66"/>
      <c r="E3" s="66"/>
      <c r="F3" s="2"/>
      <c r="G3" s="65" t="s">
        <v>4</v>
      </c>
      <c r="H3" s="66"/>
      <c r="I3" s="66"/>
      <c r="J3" s="66"/>
      <c r="K3" s="2"/>
    </row>
    <row r="4" spans="1:11" ht="14" x14ac:dyDescent="0.3">
      <c r="A4" s="65" t="s">
        <v>5</v>
      </c>
      <c r="B4" s="66"/>
      <c r="C4" s="66"/>
      <c r="D4" s="66"/>
      <c r="E4" s="66"/>
      <c r="F4" s="2"/>
      <c r="G4" s="65" t="s">
        <v>6</v>
      </c>
      <c r="H4" s="66"/>
      <c r="I4" s="66"/>
      <c r="J4" s="6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60" t="s">
        <v>7</v>
      </c>
      <c r="B6" s="61"/>
      <c r="C6" s="61"/>
      <c r="D6" s="61"/>
      <c r="E6" s="61"/>
      <c r="F6" s="61"/>
      <c r="G6" s="61"/>
      <c r="H6" s="61"/>
      <c r="I6" s="61"/>
      <c r="J6" s="61"/>
      <c r="K6" s="62"/>
    </row>
    <row r="7" spans="1:11" ht="14" x14ac:dyDescent="0.3">
      <c r="A7" s="67" t="s">
        <v>8</v>
      </c>
      <c r="B7" s="68"/>
      <c r="C7" s="68"/>
      <c r="D7" s="68"/>
      <c r="E7" s="68"/>
      <c r="F7" s="68"/>
      <c r="G7" s="68"/>
      <c r="H7" s="68"/>
      <c r="I7" s="68"/>
      <c r="J7" s="68"/>
      <c r="K7" s="69"/>
    </row>
    <row r="8" spans="1:11" ht="14" x14ac:dyDescent="0.3">
      <c r="A8" s="4" t="s">
        <v>9</v>
      </c>
      <c r="B8" s="5"/>
      <c r="C8" s="5"/>
      <c r="D8" s="5"/>
      <c r="E8" s="70" t="s">
        <v>10</v>
      </c>
      <c r="F8" s="71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59">
        <v>-128</v>
      </c>
    </row>
    <row r="11" spans="1:11" ht="15.75" customHeight="1" x14ac:dyDescent="0.25">
      <c r="A11" s="12" t="s">
        <v>23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4">
        <v>0</v>
      </c>
    </row>
    <row r="12" spans="1:11" ht="15.75" customHeight="1" x14ac:dyDescent="0.25">
      <c r="A12" s="12"/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0</v>
      </c>
    </row>
    <row r="13" spans="1:11" ht="14" x14ac:dyDescent="0.3">
      <c r="A13" s="27" t="s">
        <v>24</v>
      </c>
      <c r="B13" s="18">
        <v>8</v>
      </c>
      <c r="C13" s="18">
        <v>12</v>
      </c>
      <c r="D13" s="18">
        <v>2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9">
        <v>22</v>
      </c>
    </row>
    <row r="14" spans="1:11" ht="14" x14ac:dyDescent="0.3">
      <c r="A14" s="27"/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9">
        <v>0</v>
      </c>
    </row>
    <row r="15" spans="1:11" ht="14" x14ac:dyDescent="0.3">
      <c r="A15" s="27" t="s">
        <v>25</v>
      </c>
      <c r="B15" s="18">
        <v>8</v>
      </c>
      <c r="C15" s="18">
        <v>9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9">
        <v>17</v>
      </c>
    </row>
    <row r="16" spans="1:11" ht="14" x14ac:dyDescent="0.3">
      <c r="A16" s="27"/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9">
        <v>0</v>
      </c>
    </row>
    <row r="17" spans="1:11" ht="14" x14ac:dyDescent="0.3">
      <c r="A17" s="27" t="s">
        <v>26</v>
      </c>
      <c r="B17" s="18">
        <v>6</v>
      </c>
      <c r="C17" s="18">
        <v>10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9">
        <v>16</v>
      </c>
    </row>
    <row r="18" spans="1:11" ht="14" x14ac:dyDescent="0.3">
      <c r="A18" s="27"/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9">
        <v>0</v>
      </c>
    </row>
    <row r="19" spans="1:11" ht="14" x14ac:dyDescent="0.3">
      <c r="A19" s="27" t="s">
        <v>27</v>
      </c>
      <c r="B19" s="18">
        <v>3</v>
      </c>
      <c r="C19" s="18">
        <v>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9">
        <v>4</v>
      </c>
    </row>
    <row r="20" spans="1:11" ht="14" x14ac:dyDescent="0.3">
      <c r="A20" s="27"/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9">
        <v>0</v>
      </c>
    </row>
    <row r="21" spans="1:11" ht="14" x14ac:dyDescent="0.3">
      <c r="A21" s="27" t="s">
        <v>28</v>
      </c>
      <c r="B21" s="18">
        <v>4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9">
        <v>4</v>
      </c>
    </row>
    <row r="22" spans="1:11" ht="14" x14ac:dyDescent="0.3">
      <c r="A22" s="27"/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9">
        <v>0</v>
      </c>
    </row>
    <row r="23" spans="1:11" ht="14" x14ac:dyDescent="0.3">
      <c r="A23" s="27" t="s">
        <v>29</v>
      </c>
      <c r="B23" s="18">
        <v>5</v>
      </c>
      <c r="C23" s="18">
        <v>4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9">
        <v>9</v>
      </c>
    </row>
    <row r="24" spans="1:11" ht="14" x14ac:dyDescent="0.3">
      <c r="A24" s="27"/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9">
        <v>0</v>
      </c>
    </row>
    <row r="25" spans="1:11" ht="14" x14ac:dyDescent="0.3">
      <c r="A25" s="27" t="s">
        <v>30</v>
      </c>
      <c r="B25" s="18">
        <v>1</v>
      </c>
      <c r="C25" s="18">
        <v>6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9">
        <v>7</v>
      </c>
    </row>
    <row r="26" spans="1:11" ht="14" x14ac:dyDescent="0.3">
      <c r="A26" s="27"/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9">
        <v>0</v>
      </c>
    </row>
    <row r="27" spans="1:11" ht="14" x14ac:dyDescent="0.3">
      <c r="A27" s="27" t="s">
        <v>31</v>
      </c>
      <c r="B27" s="18">
        <v>4</v>
      </c>
      <c r="C27" s="18">
        <v>4</v>
      </c>
      <c r="D27" s="18">
        <v>1</v>
      </c>
      <c r="E27" s="18">
        <v>0</v>
      </c>
      <c r="F27" s="18">
        <v>1</v>
      </c>
      <c r="G27" s="18">
        <v>0</v>
      </c>
      <c r="H27" s="18">
        <v>0</v>
      </c>
      <c r="I27" s="18">
        <v>0</v>
      </c>
      <c r="J27" s="18">
        <v>0</v>
      </c>
      <c r="K27" s="19">
        <v>10</v>
      </c>
    </row>
    <row r="28" spans="1:11" ht="14" x14ac:dyDescent="0.3">
      <c r="A28" s="27"/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9">
        <v>0</v>
      </c>
    </row>
    <row r="29" spans="1:11" ht="14" x14ac:dyDescent="0.3">
      <c r="A29" s="27" t="s">
        <v>32</v>
      </c>
      <c r="B29" s="18">
        <v>7</v>
      </c>
      <c r="C29" s="18">
        <v>6</v>
      </c>
      <c r="D29" s="18">
        <v>1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9">
        <v>14</v>
      </c>
    </row>
    <row r="30" spans="1:11" ht="14" x14ac:dyDescent="0.3">
      <c r="A30" s="27"/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9">
        <v>0</v>
      </c>
    </row>
    <row r="31" spans="1:11" ht="14" x14ac:dyDescent="0.3">
      <c r="A31" s="27" t="s">
        <v>33</v>
      </c>
      <c r="B31" s="18">
        <v>7</v>
      </c>
      <c r="C31" s="18">
        <v>6</v>
      </c>
      <c r="D31" s="18">
        <v>1</v>
      </c>
      <c r="E31" s="18">
        <v>1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9">
        <v>15</v>
      </c>
    </row>
    <row r="32" spans="1:11" ht="14" x14ac:dyDescent="0.3">
      <c r="A32" s="27"/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9">
        <v>0</v>
      </c>
    </row>
    <row r="33" spans="1:11" ht="14" x14ac:dyDescent="0.3">
      <c r="A33" s="27" t="s">
        <v>34</v>
      </c>
      <c r="B33" s="18">
        <v>15</v>
      </c>
      <c r="C33" s="18">
        <v>23</v>
      </c>
      <c r="D33" s="18">
        <v>1</v>
      </c>
      <c r="E33" s="18">
        <v>1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9">
        <v>40</v>
      </c>
    </row>
    <row r="34" spans="1:11" ht="14" x14ac:dyDescent="0.3">
      <c r="A34" s="27"/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9">
        <v>0</v>
      </c>
    </row>
    <row r="35" spans="1:11" ht="14" x14ac:dyDescent="0.3">
      <c r="A35" s="27" t="s">
        <v>35</v>
      </c>
      <c r="B35" s="18">
        <v>25</v>
      </c>
      <c r="C35" s="18">
        <v>44</v>
      </c>
      <c r="D35" s="18">
        <v>1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9">
        <v>70</v>
      </c>
    </row>
    <row r="36" spans="1:11" ht="12.5" x14ac:dyDescent="0.25">
      <c r="A36" s="15"/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</row>
    <row r="37" spans="1:11" ht="12.5" x14ac:dyDescent="0.25">
      <c r="A37" s="63" t="s">
        <v>21</v>
      </c>
      <c r="B37" s="63">
        <v>93</v>
      </c>
      <c r="C37" s="63">
        <v>125</v>
      </c>
      <c r="D37" s="63">
        <v>7</v>
      </c>
      <c r="E37" s="63">
        <v>2</v>
      </c>
      <c r="F37" s="63">
        <v>1</v>
      </c>
      <c r="G37" s="63">
        <v>0</v>
      </c>
      <c r="H37" s="63">
        <v>0</v>
      </c>
      <c r="I37" s="63">
        <v>0</v>
      </c>
      <c r="J37" s="63">
        <v>0</v>
      </c>
      <c r="K37" s="63">
        <v>100</v>
      </c>
    </row>
    <row r="38" spans="1:11" ht="12.5" x14ac:dyDescent="0.2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1:11" ht="12.5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1:11" ht="12.5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65" t="s">
        <v>0</v>
      </c>
      <c r="B44" s="66"/>
      <c r="C44" s="66"/>
      <c r="D44" s="66"/>
      <c r="E44" s="66"/>
      <c r="F44" s="2"/>
      <c r="G44" s="2"/>
      <c r="H44" s="2"/>
      <c r="I44" s="2"/>
      <c r="J44" s="2"/>
      <c r="K44" s="2"/>
    </row>
    <row r="45" spans="1:11" ht="14" x14ac:dyDescent="0.3">
      <c r="A45" s="65" t="s">
        <v>1</v>
      </c>
      <c r="B45" s="66"/>
      <c r="C45" s="66"/>
      <c r="D45" s="2"/>
      <c r="E45" s="2"/>
      <c r="F45" s="2"/>
      <c r="G45" s="65" t="s">
        <v>124</v>
      </c>
      <c r="H45" s="66"/>
      <c r="I45" s="66"/>
      <c r="J45" s="1"/>
      <c r="K45" s="2"/>
    </row>
    <row r="46" spans="1:11" ht="14" x14ac:dyDescent="0.3">
      <c r="A46" s="65" t="s">
        <v>3</v>
      </c>
      <c r="B46" s="66"/>
      <c r="C46" s="66"/>
      <c r="D46" s="66"/>
      <c r="E46" s="66"/>
      <c r="F46" s="2"/>
      <c r="G46" s="65" t="s">
        <v>4</v>
      </c>
      <c r="H46" s="66"/>
      <c r="I46" s="66"/>
      <c r="J46" s="66"/>
      <c r="K46" s="2"/>
    </row>
    <row r="47" spans="1:11" ht="14" x14ac:dyDescent="0.3">
      <c r="A47" s="65" t="s">
        <v>5</v>
      </c>
      <c r="B47" s="66"/>
      <c r="C47" s="66"/>
      <c r="D47" s="66"/>
      <c r="E47" s="66"/>
      <c r="F47" s="2"/>
      <c r="G47" s="65" t="s">
        <v>6</v>
      </c>
      <c r="H47" s="66"/>
      <c r="I47" s="66"/>
      <c r="J47" s="6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60" t="s">
        <v>7</v>
      </c>
      <c r="B49" s="61"/>
      <c r="C49" s="61"/>
      <c r="D49" s="61"/>
      <c r="E49" s="61"/>
      <c r="F49" s="61"/>
      <c r="G49" s="61"/>
      <c r="H49" s="61"/>
      <c r="I49" s="61"/>
      <c r="J49" s="61"/>
      <c r="K49" s="62"/>
    </row>
    <row r="50" spans="1:11" ht="14" x14ac:dyDescent="0.3">
      <c r="A50" s="67" t="s">
        <v>8</v>
      </c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" x14ac:dyDescent="0.3">
      <c r="A51" s="4" t="s">
        <v>9</v>
      </c>
      <c r="B51" s="5"/>
      <c r="C51" s="5"/>
      <c r="D51" s="5"/>
      <c r="E51" s="70" t="s">
        <v>10</v>
      </c>
      <c r="F51" s="71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59">
        <v>-285</v>
      </c>
    </row>
    <row r="54" spans="1:11" ht="12.5" x14ac:dyDescent="0.25">
      <c r="A54" s="12" t="s">
        <v>23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0</v>
      </c>
    </row>
    <row r="55" spans="1:11" ht="12.5" x14ac:dyDescent="0.25">
      <c r="A55" s="12"/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4">
        <v>0</v>
      </c>
    </row>
    <row r="56" spans="1:11" ht="14" x14ac:dyDescent="0.3">
      <c r="A56" s="27" t="s">
        <v>24</v>
      </c>
      <c r="B56" s="18">
        <v>26</v>
      </c>
      <c r="C56" s="18">
        <v>17</v>
      </c>
      <c r="D56" s="18">
        <v>2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9">
        <v>45</v>
      </c>
    </row>
    <row r="57" spans="1:11" ht="14" x14ac:dyDescent="0.3">
      <c r="A57" s="27"/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9">
        <v>0</v>
      </c>
    </row>
    <row r="58" spans="1:11" ht="14" x14ac:dyDescent="0.3">
      <c r="A58" s="27" t="s">
        <v>25</v>
      </c>
      <c r="B58" s="18">
        <v>27</v>
      </c>
      <c r="C58" s="18">
        <v>9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9">
        <v>36</v>
      </c>
    </row>
    <row r="59" spans="1:11" ht="14" x14ac:dyDescent="0.3">
      <c r="A59" s="27"/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9">
        <v>0</v>
      </c>
    </row>
    <row r="60" spans="1:11" ht="14" x14ac:dyDescent="0.3">
      <c r="A60" s="27" t="s">
        <v>26</v>
      </c>
      <c r="B60" s="18">
        <v>9</v>
      </c>
      <c r="C60" s="18">
        <v>5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9">
        <v>14</v>
      </c>
    </row>
    <row r="61" spans="1:11" ht="14" x14ac:dyDescent="0.3">
      <c r="A61" s="27"/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9">
        <v>0</v>
      </c>
    </row>
    <row r="62" spans="1:11" ht="14" x14ac:dyDescent="0.3">
      <c r="A62" s="27" t="s">
        <v>27</v>
      </c>
      <c r="B62" s="18">
        <v>5</v>
      </c>
      <c r="C62" s="18">
        <v>3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9">
        <v>8</v>
      </c>
    </row>
    <row r="63" spans="1:11" ht="14" x14ac:dyDescent="0.3">
      <c r="A63" s="27"/>
      <c r="B63" s="18">
        <v>0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9">
        <v>0</v>
      </c>
    </row>
    <row r="64" spans="1:11" ht="14" x14ac:dyDescent="0.3">
      <c r="A64" s="27" t="s">
        <v>28</v>
      </c>
      <c r="B64" s="18">
        <v>1</v>
      </c>
      <c r="C64" s="18">
        <v>4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9">
        <v>5</v>
      </c>
    </row>
    <row r="65" spans="1:11" ht="14" x14ac:dyDescent="0.3">
      <c r="A65" s="27"/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9">
        <v>0</v>
      </c>
    </row>
    <row r="66" spans="1:11" ht="14" x14ac:dyDescent="0.3">
      <c r="A66" s="27" t="s">
        <v>29</v>
      </c>
      <c r="B66" s="18">
        <v>5</v>
      </c>
      <c r="C66" s="18">
        <v>1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9">
        <v>6</v>
      </c>
    </row>
    <row r="67" spans="1:11" ht="14" x14ac:dyDescent="0.3">
      <c r="A67" s="27"/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9">
        <v>0</v>
      </c>
    </row>
    <row r="68" spans="1:11" ht="14" x14ac:dyDescent="0.3">
      <c r="A68" s="27" t="s">
        <v>30</v>
      </c>
      <c r="B68" s="18">
        <v>11</v>
      </c>
      <c r="C68" s="18">
        <v>4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9">
        <v>15</v>
      </c>
    </row>
    <row r="69" spans="1:11" ht="14" x14ac:dyDescent="0.3">
      <c r="A69" s="27"/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9">
        <v>0</v>
      </c>
    </row>
    <row r="70" spans="1:11" ht="14" x14ac:dyDescent="0.3">
      <c r="A70" s="27" t="s">
        <v>31</v>
      </c>
      <c r="B70" s="18">
        <v>17</v>
      </c>
      <c r="C70" s="18">
        <v>8</v>
      </c>
      <c r="D70" s="18">
        <v>1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9">
        <v>26</v>
      </c>
    </row>
    <row r="71" spans="1:11" ht="14" x14ac:dyDescent="0.3">
      <c r="A71" s="27"/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9">
        <v>0</v>
      </c>
    </row>
    <row r="72" spans="1:11" ht="14" x14ac:dyDescent="0.3">
      <c r="A72" s="27" t="s">
        <v>32</v>
      </c>
      <c r="B72" s="18">
        <v>10</v>
      </c>
      <c r="C72" s="18">
        <v>7</v>
      </c>
      <c r="D72" s="18">
        <v>1</v>
      </c>
      <c r="E72" s="18">
        <v>1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9">
        <v>19</v>
      </c>
    </row>
    <row r="73" spans="1:11" ht="14" x14ac:dyDescent="0.3">
      <c r="A73" s="27"/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9">
        <v>0</v>
      </c>
    </row>
    <row r="74" spans="1:11" ht="14" x14ac:dyDescent="0.3">
      <c r="A74" s="27" t="s">
        <v>33</v>
      </c>
      <c r="B74" s="18">
        <v>15</v>
      </c>
      <c r="C74" s="18">
        <v>6</v>
      </c>
      <c r="D74" s="18">
        <v>2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9">
        <v>23</v>
      </c>
    </row>
    <row r="75" spans="1:11" ht="14" x14ac:dyDescent="0.3">
      <c r="A75" s="27"/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9">
        <v>0</v>
      </c>
    </row>
    <row r="76" spans="1:11" ht="14" x14ac:dyDescent="0.3">
      <c r="A76" s="27" t="s">
        <v>34</v>
      </c>
      <c r="B76" s="18">
        <v>27</v>
      </c>
      <c r="C76" s="18">
        <v>33</v>
      </c>
      <c r="D76" s="18">
        <v>6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9">
        <v>66</v>
      </c>
    </row>
    <row r="77" spans="1:11" ht="14" x14ac:dyDescent="0.3">
      <c r="A77" s="27"/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9">
        <v>0</v>
      </c>
    </row>
    <row r="78" spans="1:11" ht="14" x14ac:dyDescent="0.3">
      <c r="A78" s="27" t="s">
        <v>35</v>
      </c>
      <c r="B78" s="18">
        <v>57</v>
      </c>
      <c r="C78" s="18">
        <v>55</v>
      </c>
      <c r="D78" s="18">
        <v>10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9">
        <v>122</v>
      </c>
    </row>
    <row r="79" spans="1:11" ht="12.5" x14ac:dyDescent="0.25">
      <c r="A79" s="15"/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</row>
    <row r="80" spans="1:11" ht="12.5" x14ac:dyDescent="0.25">
      <c r="A80" s="63" t="s">
        <v>21</v>
      </c>
      <c r="B80" s="63">
        <v>210</v>
      </c>
      <c r="C80" s="63">
        <v>152</v>
      </c>
      <c r="D80" s="63">
        <v>22</v>
      </c>
      <c r="E80" s="63">
        <v>1</v>
      </c>
      <c r="F80" s="63">
        <v>0</v>
      </c>
      <c r="G80" s="63">
        <v>0</v>
      </c>
      <c r="H80" s="63">
        <v>0</v>
      </c>
      <c r="I80" s="63">
        <v>0</v>
      </c>
      <c r="J80" s="63">
        <v>0</v>
      </c>
      <c r="K80" s="63">
        <v>100</v>
      </c>
    </row>
    <row r="81" spans="1:11" ht="12.5" x14ac:dyDescent="0.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</row>
    <row r="82" spans="1:11" ht="12.5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</row>
    <row r="83" spans="1:11" ht="12.5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65" t="s">
        <v>0</v>
      </c>
      <c r="B87" s="66"/>
      <c r="C87" s="66"/>
      <c r="D87" s="66"/>
      <c r="E87" s="66"/>
      <c r="F87" s="2"/>
      <c r="G87" s="2"/>
      <c r="H87" s="2"/>
      <c r="I87" s="2"/>
      <c r="J87" s="2"/>
      <c r="K87" s="2"/>
    </row>
    <row r="88" spans="1:11" ht="14" x14ac:dyDescent="0.3">
      <c r="A88" s="65" t="s">
        <v>1</v>
      </c>
      <c r="B88" s="66"/>
      <c r="C88" s="66"/>
      <c r="D88" s="2"/>
      <c r="E88" s="2"/>
      <c r="F88" s="2"/>
      <c r="G88" s="65" t="s">
        <v>125</v>
      </c>
      <c r="H88" s="66"/>
      <c r="I88" s="66"/>
      <c r="J88" s="1"/>
      <c r="K88" s="2"/>
    </row>
    <row r="89" spans="1:11" ht="14" x14ac:dyDescent="0.3">
      <c r="A89" s="65" t="s">
        <v>3</v>
      </c>
      <c r="B89" s="66"/>
      <c r="C89" s="66"/>
      <c r="D89" s="66"/>
      <c r="E89" s="66"/>
      <c r="F89" s="2"/>
      <c r="G89" s="65" t="s">
        <v>4</v>
      </c>
      <c r="H89" s="66"/>
      <c r="I89" s="66"/>
      <c r="J89" s="66"/>
      <c r="K89" s="2"/>
    </row>
    <row r="90" spans="1:11" ht="14" x14ac:dyDescent="0.3">
      <c r="A90" s="65" t="s">
        <v>5</v>
      </c>
      <c r="B90" s="66"/>
      <c r="C90" s="66"/>
      <c r="D90" s="66"/>
      <c r="E90" s="66"/>
      <c r="F90" s="2"/>
      <c r="G90" s="65" t="s">
        <v>6</v>
      </c>
      <c r="H90" s="66"/>
      <c r="I90" s="66"/>
      <c r="J90" s="6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60" t="s">
        <v>7</v>
      </c>
      <c r="B92" s="61"/>
      <c r="C92" s="61"/>
      <c r="D92" s="61"/>
      <c r="E92" s="61"/>
      <c r="F92" s="61"/>
      <c r="G92" s="61"/>
      <c r="H92" s="61"/>
      <c r="I92" s="61"/>
      <c r="J92" s="61"/>
      <c r="K92" s="62"/>
    </row>
    <row r="93" spans="1:11" ht="14" x14ac:dyDescent="0.3">
      <c r="A93" s="67" t="s">
        <v>8</v>
      </c>
      <c r="B93" s="68"/>
      <c r="C93" s="68"/>
      <c r="D93" s="68"/>
      <c r="E93" s="68"/>
      <c r="F93" s="68"/>
      <c r="G93" s="68"/>
      <c r="H93" s="68"/>
      <c r="I93" s="68"/>
      <c r="J93" s="68"/>
      <c r="K93" s="69"/>
    </row>
    <row r="94" spans="1:11" ht="14" x14ac:dyDescent="0.3">
      <c r="A94" s="4" t="s">
        <v>9</v>
      </c>
      <c r="B94" s="5"/>
      <c r="C94" s="5"/>
      <c r="D94" s="5"/>
      <c r="E94" s="70" t="s">
        <v>10</v>
      </c>
      <c r="F94" s="71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9" t="s">
        <v>22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59">
        <v>-285</v>
      </c>
    </row>
    <row r="97" spans="1:11" ht="12.5" x14ac:dyDescent="0.25">
      <c r="A97" s="12" t="s">
        <v>23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4">
        <v>0</v>
      </c>
    </row>
    <row r="98" spans="1:11" ht="12.5" x14ac:dyDescent="0.25">
      <c r="A98" s="12"/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0</v>
      </c>
    </row>
    <row r="99" spans="1:11" ht="14" x14ac:dyDescent="0.3">
      <c r="A99" s="27" t="s">
        <v>24</v>
      </c>
      <c r="B99" s="18">
        <v>33</v>
      </c>
      <c r="C99" s="18">
        <v>16</v>
      </c>
      <c r="D99" s="18">
        <v>1</v>
      </c>
      <c r="E99" s="18">
        <v>1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9">
        <v>51</v>
      </c>
    </row>
    <row r="100" spans="1:11" ht="14" x14ac:dyDescent="0.3">
      <c r="A100" s="27"/>
      <c r="B100" s="18">
        <v>0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  <c r="K100" s="19">
        <v>0</v>
      </c>
    </row>
    <row r="101" spans="1:11" ht="14" x14ac:dyDescent="0.3">
      <c r="A101" s="27" t="s">
        <v>25</v>
      </c>
      <c r="B101" s="18">
        <v>29</v>
      </c>
      <c r="C101" s="18">
        <v>14</v>
      </c>
      <c r="D101" s="18">
        <v>2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9">
        <v>45</v>
      </c>
    </row>
    <row r="102" spans="1:11" ht="14" x14ac:dyDescent="0.3">
      <c r="A102" s="27"/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9">
        <v>0</v>
      </c>
    </row>
    <row r="103" spans="1:11" ht="14" x14ac:dyDescent="0.3">
      <c r="A103" s="27" t="s">
        <v>26</v>
      </c>
      <c r="B103" s="18">
        <v>17</v>
      </c>
      <c r="C103" s="18">
        <v>4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9">
        <v>21</v>
      </c>
    </row>
    <row r="104" spans="1:11" ht="14" x14ac:dyDescent="0.3">
      <c r="A104" s="27"/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9">
        <v>0</v>
      </c>
    </row>
    <row r="105" spans="1:11" ht="14" x14ac:dyDescent="0.3">
      <c r="A105" s="27" t="s">
        <v>27</v>
      </c>
      <c r="B105" s="18">
        <v>10</v>
      </c>
      <c r="C105" s="18">
        <v>4</v>
      </c>
      <c r="D105" s="18">
        <v>0</v>
      </c>
      <c r="E105" s="18">
        <v>1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9">
        <v>15</v>
      </c>
    </row>
    <row r="106" spans="1:11" ht="14" x14ac:dyDescent="0.3">
      <c r="A106" s="27"/>
      <c r="B106" s="18">
        <v>0</v>
      </c>
      <c r="C106" s="18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9">
        <v>0</v>
      </c>
    </row>
    <row r="107" spans="1:11" ht="14" x14ac:dyDescent="0.3">
      <c r="A107" s="27" t="s">
        <v>28</v>
      </c>
      <c r="B107" s="18">
        <v>8</v>
      </c>
      <c r="C107" s="18">
        <v>3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9">
        <v>11</v>
      </c>
    </row>
    <row r="108" spans="1:11" ht="14" x14ac:dyDescent="0.3">
      <c r="A108" s="27"/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9">
        <v>0</v>
      </c>
    </row>
    <row r="109" spans="1:11" ht="14" x14ac:dyDescent="0.3">
      <c r="A109" s="27" t="s">
        <v>29</v>
      </c>
      <c r="B109" s="18">
        <v>11</v>
      </c>
      <c r="C109" s="18">
        <v>4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9">
        <v>15</v>
      </c>
    </row>
    <row r="110" spans="1:11" ht="14" x14ac:dyDescent="0.3">
      <c r="A110" s="27"/>
      <c r="B110" s="18">
        <v>0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9">
        <v>0</v>
      </c>
    </row>
    <row r="111" spans="1:11" ht="14" x14ac:dyDescent="0.3">
      <c r="A111" s="27" t="s">
        <v>30</v>
      </c>
      <c r="B111" s="18">
        <v>9</v>
      </c>
      <c r="C111" s="18">
        <v>11</v>
      </c>
      <c r="D111" s="18">
        <v>0</v>
      </c>
      <c r="E111" s="18">
        <v>1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9">
        <v>21</v>
      </c>
    </row>
    <row r="112" spans="1:11" ht="14" x14ac:dyDescent="0.3">
      <c r="A112" s="27"/>
      <c r="B112" s="18">
        <v>0</v>
      </c>
      <c r="C112" s="18">
        <v>0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9">
        <v>0</v>
      </c>
    </row>
    <row r="113" spans="1:11" ht="14" x14ac:dyDescent="0.3">
      <c r="A113" s="27" t="s">
        <v>31</v>
      </c>
      <c r="B113" s="18">
        <v>26</v>
      </c>
      <c r="C113" s="18">
        <v>6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9">
        <v>32</v>
      </c>
    </row>
    <row r="114" spans="1:11" ht="14" x14ac:dyDescent="0.3">
      <c r="A114" s="27"/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9">
        <v>0</v>
      </c>
    </row>
    <row r="115" spans="1:11" ht="14" x14ac:dyDescent="0.3">
      <c r="A115" s="27" t="s">
        <v>32</v>
      </c>
      <c r="B115" s="18">
        <v>14</v>
      </c>
      <c r="C115" s="18">
        <v>7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9">
        <v>21</v>
      </c>
    </row>
    <row r="116" spans="1:11" ht="14" x14ac:dyDescent="0.3">
      <c r="A116" s="27"/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9">
        <v>0</v>
      </c>
    </row>
    <row r="117" spans="1:11" ht="14" x14ac:dyDescent="0.3">
      <c r="A117" s="27" t="s">
        <v>33</v>
      </c>
      <c r="B117" s="18">
        <v>20</v>
      </c>
      <c r="C117" s="18">
        <v>10</v>
      </c>
      <c r="D117" s="18">
        <v>2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9">
        <v>32</v>
      </c>
    </row>
    <row r="118" spans="1:11" ht="14" x14ac:dyDescent="0.3">
      <c r="A118" s="27"/>
      <c r="B118" s="18">
        <v>0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9">
        <v>0</v>
      </c>
    </row>
    <row r="119" spans="1:11" ht="14" x14ac:dyDescent="0.3">
      <c r="A119" s="27" t="s">
        <v>34</v>
      </c>
      <c r="B119" s="18">
        <v>25</v>
      </c>
      <c r="C119" s="18">
        <v>20</v>
      </c>
      <c r="D119" s="18">
        <v>1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9">
        <v>46</v>
      </c>
    </row>
    <row r="120" spans="1:11" ht="14" x14ac:dyDescent="0.3">
      <c r="A120" s="27"/>
      <c r="B120" s="18">
        <v>0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  <c r="K120" s="19">
        <v>0</v>
      </c>
    </row>
    <row r="121" spans="1:11" ht="14" x14ac:dyDescent="0.3">
      <c r="A121" s="27" t="s">
        <v>35</v>
      </c>
      <c r="B121" s="18">
        <v>49</v>
      </c>
      <c r="C121" s="18">
        <v>24</v>
      </c>
      <c r="D121" s="18">
        <v>2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9">
        <v>75</v>
      </c>
    </row>
    <row r="122" spans="1:11" ht="12.5" x14ac:dyDescent="0.25">
      <c r="A122" s="15"/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</row>
    <row r="123" spans="1:11" ht="12.5" x14ac:dyDescent="0.25">
      <c r="A123" s="63" t="s">
        <v>21</v>
      </c>
      <c r="B123" s="63">
        <v>251</v>
      </c>
      <c r="C123" s="63">
        <v>123</v>
      </c>
      <c r="D123" s="63">
        <v>8</v>
      </c>
      <c r="E123" s="63">
        <v>3</v>
      </c>
      <c r="F123" s="63">
        <v>0</v>
      </c>
      <c r="G123" s="63">
        <v>0</v>
      </c>
      <c r="H123" s="63">
        <v>0</v>
      </c>
      <c r="I123" s="63">
        <v>0</v>
      </c>
      <c r="J123" s="63">
        <v>0</v>
      </c>
      <c r="K123" s="63">
        <v>100</v>
      </c>
    </row>
    <row r="124" spans="1:11" ht="12.5" x14ac:dyDescent="0.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2.5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 spans="1:11" ht="12.5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65" t="s">
        <v>0</v>
      </c>
      <c r="B130" s="66"/>
      <c r="C130" s="66"/>
      <c r="D130" s="66"/>
      <c r="E130" s="66"/>
      <c r="F130" s="2"/>
      <c r="G130" s="2"/>
      <c r="H130" s="2"/>
      <c r="I130" s="2"/>
      <c r="J130" s="2"/>
      <c r="K130" s="2"/>
    </row>
    <row r="131" spans="1:11" ht="14" x14ac:dyDescent="0.3">
      <c r="A131" s="65" t="s">
        <v>1</v>
      </c>
      <c r="B131" s="66"/>
      <c r="C131" s="66"/>
      <c r="D131" s="2"/>
      <c r="E131" s="2"/>
      <c r="F131" s="2"/>
      <c r="G131" s="65" t="s">
        <v>128</v>
      </c>
      <c r="H131" s="66"/>
      <c r="I131" s="66"/>
      <c r="J131" s="1"/>
      <c r="K131" s="2"/>
    </row>
    <row r="132" spans="1:11" ht="14" x14ac:dyDescent="0.3">
      <c r="A132" s="65" t="s">
        <v>3</v>
      </c>
      <c r="B132" s="66"/>
      <c r="C132" s="66"/>
      <c r="D132" s="66"/>
      <c r="E132" s="66"/>
      <c r="F132" s="2"/>
      <c r="G132" s="65" t="s">
        <v>4</v>
      </c>
      <c r="H132" s="66"/>
      <c r="I132" s="66"/>
      <c r="J132" s="66"/>
      <c r="K132" s="2"/>
    </row>
    <row r="133" spans="1:11" ht="14" x14ac:dyDescent="0.3">
      <c r="A133" s="65" t="s">
        <v>5</v>
      </c>
      <c r="B133" s="66"/>
      <c r="C133" s="66"/>
      <c r="D133" s="66"/>
      <c r="E133" s="66"/>
      <c r="F133" s="2"/>
      <c r="G133" s="65" t="s">
        <v>6</v>
      </c>
      <c r="H133" s="66"/>
      <c r="I133" s="66"/>
      <c r="J133" s="6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60" t="s">
        <v>7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2"/>
    </row>
    <row r="136" spans="1:11" ht="14" x14ac:dyDescent="0.3">
      <c r="A136" s="67" t="s">
        <v>8</v>
      </c>
      <c r="B136" s="68"/>
      <c r="C136" s="68"/>
      <c r="D136" s="68"/>
      <c r="E136" s="68"/>
      <c r="F136" s="68"/>
      <c r="G136" s="68"/>
      <c r="H136" s="68"/>
      <c r="I136" s="68"/>
      <c r="J136" s="68"/>
      <c r="K136" s="69"/>
    </row>
    <row r="137" spans="1:11" ht="14" x14ac:dyDescent="0.3">
      <c r="A137" s="4" t="s">
        <v>9</v>
      </c>
      <c r="B137" s="5"/>
      <c r="C137" s="5"/>
      <c r="D137" s="5"/>
      <c r="E137" s="70" t="s">
        <v>10</v>
      </c>
      <c r="F137" s="71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>
        <v>0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59">
        <v>-285</v>
      </c>
    </row>
    <row r="140" spans="1:11" ht="12.5" x14ac:dyDescent="0.25">
      <c r="A140" s="12" t="s">
        <v>23</v>
      </c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0</v>
      </c>
    </row>
    <row r="141" spans="1:11" ht="12.5" x14ac:dyDescent="0.25">
      <c r="A141" s="12"/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4">
        <v>0</v>
      </c>
    </row>
    <row r="142" spans="1:11" ht="14" x14ac:dyDescent="0.3">
      <c r="A142" s="27" t="s">
        <v>24</v>
      </c>
      <c r="B142" s="18">
        <v>26</v>
      </c>
      <c r="C142" s="18">
        <v>17</v>
      </c>
      <c r="D142" s="18">
        <v>2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9">
        <v>45</v>
      </c>
    </row>
    <row r="143" spans="1:11" ht="14" x14ac:dyDescent="0.3">
      <c r="A143" s="27"/>
      <c r="B143" s="18">
        <v>0</v>
      </c>
      <c r="C143" s="18">
        <v>0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9">
        <v>0</v>
      </c>
    </row>
    <row r="144" spans="1:11" ht="14" x14ac:dyDescent="0.3">
      <c r="A144" s="27" t="s">
        <v>25</v>
      </c>
      <c r="B144" s="18">
        <v>27</v>
      </c>
      <c r="C144" s="18">
        <v>9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9">
        <v>36</v>
      </c>
    </row>
    <row r="145" spans="1:11" ht="14" x14ac:dyDescent="0.3">
      <c r="A145" s="27"/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  <c r="K145" s="19">
        <v>0</v>
      </c>
    </row>
    <row r="146" spans="1:11" ht="14" x14ac:dyDescent="0.3">
      <c r="A146" s="27" t="s">
        <v>26</v>
      </c>
      <c r="B146" s="18">
        <v>9</v>
      </c>
      <c r="C146" s="18">
        <v>5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9">
        <v>14</v>
      </c>
    </row>
    <row r="147" spans="1:11" ht="14" x14ac:dyDescent="0.3">
      <c r="A147" s="27"/>
      <c r="B147" s="18">
        <v>0</v>
      </c>
      <c r="C147" s="18">
        <v>0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0</v>
      </c>
      <c r="K147" s="19">
        <v>0</v>
      </c>
    </row>
    <row r="148" spans="1:11" ht="14" x14ac:dyDescent="0.3">
      <c r="A148" s="27" t="s">
        <v>27</v>
      </c>
      <c r="B148" s="18">
        <v>5</v>
      </c>
      <c r="C148" s="18">
        <v>3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9">
        <v>8</v>
      </c>
    </row>
    <row r="149" spans="1:11" ht="14" x14ac:dyDescent="0.3">
      <c r="A149" s="27"/>
      <c r="B149" s="18">
        <v>0</v>
      </c>
      <c r="C149" s="18">
        <v>0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  <c r="K149" s="19">
        <v>0</v>
      </c>
    </row>
    <row r="150" spans="1:11" ht="14" x14ac:dyDescent="0.3">
      <c r="A150" s="27" t="s">
        <v>28</v>
      </c>
      <c r="B150" s="18">
        <v>1</v>
      </c>
      <c r="C150" s="18">
        <v>4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9">
        <v>5</v>
      </c>
    </row>
    <row r="151" spans="1:11" ht="14" x14ac:dyDescent="0.3">
      <c r="A151" s="27"/>
      <c r="B151" s="18">
        <v>0</v>
      </c>
      <c r="C151" s="18">
        <v>0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9">
        <v>0</v>
      </c>
    </row>
    <row r="152" spans="1:11" ht="14" x14ac:dyDescent="0.3">
      <c r="A152" s="27" t="s">
        <v>29</v>
      </c>
      <c r="B152" s="18">
        <v>5</v>
      </c>
      <c r="C152" s="18">
        <v>1</v>
      </c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9">
        <v>6</v>
      </c>
    </row>
    <row r="153" spans="1:11" ht="14" x14ac:dyDescent="0.3">
      <c r="A153" s="27"/>
      <c r="B153" s="18">
        <v>0</v>
      </c>
      <c r="C153" s="18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0</v>
      </c>
      <c r="K153" s="19">
        <v>0</v>
      </c>
    </row>
    <row r="154" spans="1:11" ht="14" x14ac:dyDescent="0.3">
      <c r="A154" s="27" t="s">
        <v>30</v>
      </c>
      <c r="B154" s="18">
        <v>11</v>
      </c>
      <c r="C154" s="18">
        <v>4</v>
      </c>
      <c r="D154" s="18">
        <v>0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9">
        <v>15</v>
      </c>
    </row>
    <row r="155" spans="1:11" ht="14" x14ac:dyDescent="0.3">
      <c r="A155" s="27"/>
      <c r="B155" s="18">
        <v>0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9">
        <v>0</v>
      </c>
    </row>
    <row r="156" spans="1:11" ht="14" x14ac:dyDescent="0.3">
      <c r="A156" s="27" t="s">
        <v>31</v>
      </c>
      <c r="B156" s="18">
        <v>17</v>
      </c>
      <c r="C156" s="18">
        <v>8</v>
      </c>
      <c r="D156" s="18">
        <v>1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0</v>
      </c>
      <c r="K156" s="19">
        <v>26</v>
      </c>
    </row>
    <row r="157" spans="1:11" ht="14" x14ac:dyDescent="0.3">
      <c r="A157" s="27"/>
      <c r="B157" s="18">
        <v>0</v>
      </c>
      <c r="C157" s="18">
        <v>0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9">
        <v>0</v>
      </c>
    </row>
    <row r="158" spans="1:11" ht="14" x14ac:dyDescent="0.3">
      <c r="A158" s="27" t="s">
        <v>32</v>
      </c>
      <c r="B158" s="18">
        <v>10</v>
      </c>
      <c r="C158" s="18">
        <v>7</v>
      </c>
      <c r="D158" s="18">
        <v>1</v>
      </c>
      <c r="E158" s="18">
        <v>1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9">
        <v>19</v>
      </c>
    </row>
    <row r="159" spans="1:11" ht="14" x14ac:dyDescent="0.3">
      <c r="A159" s="27"/>
      <c r="B159" s="18">
        <v>0</v>
      </c>
      <c r="C159" s="18">
        <v>0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9">
        <v>0</v>
      </c>
    </row>
    <row r="160" spans="1:11" ht="14" x14ac:dyDescent="0.3">
      <c r="A160" s="27" t="s">
        <v>33</v>
      </c>
      <c r="B160" s="18">
        <v>15</v>
      </c>
      <c r="C160" s="18">
        <v>6</v>
      </c>
      <c r="D160" s="18">
        <v>2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9">
        <v>23</v>
      </c>
    </row>
    <row r="161" spans="1:11" ht="14" x14ac:dyDescent="0.3">
      <c r="A161" s="27"/>
      <c r="B161" s="18">
        <v>0</v>
      </c>
      <c r="C161" s="18">
        <v>0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9">
        <v>0</v>
      </c>
    </row>
    <row r="162" spans="1:11" ht="14" x14ac:dyDescent="0.3">
      <c r="A162" s="27" t="s">
        <v>34</v>
      </c>
      <c r="B162" s="18">
        <v>27</v>
      </c>
      <c r="C162" s="18">
        <v>33</v>
      </c>
      <c r="D162" s="18">
        <v>6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0</v>
      </c>
      <c r="K162" s="19">
        <v>66</v>
      </c>
    </row>
    <row r="163" spans="1:11" ht="14" x14ac:dyDescent="0.3">
      <c r="A163" s="27"/>
      <c r="B163" s="18">
        <v>0</v>
      </c>
      <c r="C163" s="18">
        <v>0</v>
      </c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0</v>
      </c>
      <c r="K163" s="19">
        <v>0</v>
      </c>
    </row>
    <row r="164" spans="1:11" ht="14" x14ac:dyDescent="0.3">
      <c r="A164" s="27" t="s">
        <v>35</v>
      </c>
      <c r="B164" s="18">
        <v>57</v>
      </c>
      <c r="C164" s="18">
        <v>55</v>
      </c>
      <c r="D164" s="18">
        <v>10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9">
        <v>122</v>
      </c>
    </row>
    <row r="165" spans="1:11" ht="12.5" x14ac:dyDescent="0.25">
      <c r="A165" s="15"/>
      <c r="B165" s="14">
        <v>0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</row>
    <row r="166" spans="1:11" ht="12.5" x14ac:dyDescent="0.25">
      <c r="A166" s="63" t="s">
        <v>21</v>
      </c>
      <c r="B166" s="63">
        <v>210</v>
      </c>
      <c r="C166" s="63">
        <v>152</v>
      </c>
      <c r="D166" s="63">
        <v>22</v>
      </c>
      <c r="E166" s="63">
        <v>1</v>
      </c>
      <c r="F166" s="63">
        <v>0</v>
      </c>
      <c r="G166" s="63">
        <v>0</v>
      </c>
      <c r="H166" s="63">
        <v>0</v>
      </c>
      <c r="I166" s="63">
        <v>0</v>
      </c>
      <c r="J166" s="63">
        <v>0</v>
      </c>
      <c r="K166" s="63">
        <v>100</v>
      </c>
    </row>
    <row r="167" spans="1:11" ht="12.5" x14ac:dyDescent="0.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</row>
    <row r="168" spans="1:11" ht="12.5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 spans="1:11" ht="12.5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65" t="s">
        <v>0</v>
      </c>
      <c r="B173" s="66"/>
      <c r="C173" s="66"/>
      <c r="D173" s="66"/>
      <c r="E173" s="66"/>
      <c r="F173" s="2"/>
      <c r="G173" s="2"/>
      <c r="H173" s="2"/>
      <c r="I173" s="2"/>
      <c r="J173" s="2"/>
      <c r="K173" s="2"/>
    </row>
    <row r="174" spans="1:11" ht="14" x14ac:dyDescent="0.3">
      <c r="A174" s="65" t="s">
        <v>1</v>
      </c>
      <c r="B174" s="66"/>
      <c r="C174" s="66"/>
      <c r="D174" s="2"/>
      <c r="E174" s="2"/>
      <c r="F174" s="2"/>
      <c r="G174" s="65" t="s">
        <v>126</v>
      </c>
      <c r="H174" s="66"/>
      <c r="I174" s="66"/>
      <c r="J174" s="1"/>
      <c r="K174" s="2"/>
    </row>
    <row r="175" spans="1:11" ht="14" x14ac:dyDescent="0.3">
      <c r="A175" s="65" t="s">
        <v>39</v>
      </c>
      <c r="B175" s="66"/>
      <c r="C175" s="66"/>
      <c r="D175" s="66"/>
      <c r="E175" s="66"/>
      <c r="F175" s="2"/>
      <c r="G175" s="65" t="s">
        <v>4</v>
      </c>
      <c r="H175" s="66"/>
      <c r="I175" s="66"/>
      <c r="J175" s="66"/>
      <c r="K175" s="2"/>
    </row>
    <row r="176" spans="1:11" ht="14" x14ac:dyDescent="0.3">
      <c r="A176" s="65" t="s">
        <v>5</v>
      </c>
      <c r="B176" s="66"/>
      <c r="C176" s="66"/>
      <c r="D176" s="66"/>
      <c r="E176" s="66"/>
      <c r="F176" s="2"/>
      <c r="G176" s="65" t="s">
        <v>6</v>
      </c>
      <c r="H176" s="66"/>
      <c r="I176" s="66"/>
      <c r="J176" s="6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60" t="s">
        <v>7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2"/>
    </row>
    <row r="179" spans="1:11" ht="14" x14ac:dyDescent="0.3">
      <c r="A179" s="67" t="s">
        <v>8</v>
      </c>
      <c r="B179" s="68"/>
      <c r="C179" s="68"/>
      <c r="D179" s="68"/>
      <c r="E179" s="68"/>
      <c r="F179" s="68"/>
      <c r="G179" s="68"/>
      <c r="H179" s="68"/>
      <c r="I179" s="68"/>
      <c r="J179" s="68"/>
      <c r="K179" s="69"/>
    </row>
    <row r="180" spans="1:11" ht="14" x14ac:dyDescent="0.3">
      <c r="A180" s="4" t="s">
        <v>9</v>
      </c>
      <c r="B180" s="5"/>
      <c r="C180" s="5"/>
      <c r="D180" s="5"/>
      <c r="E180" s="70" t="s">
        <v>10</v>
      </c>
      <c r="F180" s="71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4" x14ac:dyDescent="0.3">
      <c r="A182" s="25" t="s">
        <v>22</v>
      </c>
      <c r="B182" s="28">
        <v>0</v>
      </c>
      <c r="C182" s="28">
        <v>0</v>
      </c>
      <c r="D182" s="28">
        <v>0</v>
      </c>
      <c r="E182" s="28">
        <v>0</v>
      </c>
      <c r="F182" s="28">
        <v>0</v>
      </c>
      <c r="G182" s="28">
        <v>0</v>
      </c>
      <c r="H182" s="28">
        <v>0</v>
      </c>
      <c r="I182" s="28">
        <v>0</v>
      </c>
      <c r="J182" s="28">
        <v>0</v>
      </c>
      <c r="K182" s="59">
        <v>152</v>
      </c>
    </row>
    <row r="183" spans="1:11" ht="14" x14ac:dyDescent="0.3">
      <c r="A183" s="27" t="s">
        <v>23</v>
      </c>
      <c r="B183" s="18">
        <v>0</v>
      </c>
      <c r="C183" s="18">
        <v>0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8">
        <v>0</v>
      </c>
      <c r="K183" s="19">
        <v>0</v>
      </c>
    </row>
    <row r="184" spans="1:11" ht="14" x14ac:dyDescent="0.3">
      <c r="A184" s="27"/>
      <c r="B184" s="18">
        <v>0</v>
      </c>
      <c r="C184" s="18">
        <v>0</v>
      </c>
      <c r="D184" s="18">
        <v>0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8">
        <v>0</v>
      </c>
      <c r="K184" s="19">
        <v>0</v>
      </c>
    </row>
    <row r="185" spans="1:11" ht="14" x14ac:dyDescent="0.3">
      <c r="A185" s="27" t="s">
        <v>24</v>
      </c>
      <c r="B185" s="18">
        <v>14</v>
      </c>
      <c r="C185" s="18">
        <v>11</v>
      </c>
      <c r="D185" s="18">
        <v>0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8">
        <v>0</v>
      </c>
      <c r="K185" s="19">
        <v>25</v>
      </c>
    </row>
    <row r="186" spans="1:11" ht="14" x14ac:dyDescent="0.3">
      <c r="A186" s="27"/>
      <c r="B186" s="18">
        <v>0</v>
      </c>
      <c r="C186" s="18">
        <v>0</v>
      </c>
      <c r="D186" s="18">
        <v>0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8">
        <v>0</v>
      </c>
      <c r="K186" s="19">
        <v>0</v>
      </c>
    </row>
    <row r="187" spans="1:11" ht="14" x14ac:dyDescent="0.3">
      <c r="A187" s="27" t="s">
        <v>25</v>
      </c>
      <c r="B187" s="18">
        <v>23</v>
      </c>
      <c r="C187" s="18">
        <v>10</v>
      </c>
      <c r="D187" s="18">
        <v>0</v>
      </c>
      <c r="E187" s="18">
        <v>0</v>
      </c>
      <c r="F187" s="18">
        <v>0</v>
      </c>
      <c r="G187" s="18">
        <v>0</v>
      </c>
      <c r="H187" s="18">
        <v>0</v>
      </c>
      <c r="I187" s="18">
        <v>0</v>
      </c>
      <c r="J187" s="18">
        <v>0</v>
      </c>
      <c r="K187" s="19">
        <v>33</v>
      </c>
    </row>
    <row r="188" spans="1:11" ht="14" x14ac:dyDescent="0.3">
      <c r="A188" s="27"/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8">
        <v>0</v>
      </c>
      <c r="K188" s="19">
        <v>0</v>
      </c>
    </row>
    <row r="189" spans="1:11" ht="14" x14ac:dyDescent="0.3">
      <c r="A189" s="27" t="s">
        <v>26</v>
      </c>
      <c r="B189" s="18">
        <v>13</v>
      </c>
      <c r="C189" s="18">
        <v>1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8">
        <v>0</v>
      </c>
      <c r="K189" s="19">
        <v>14</v>
      </c>
    </row>
    <row r="190" spans="1:11" ht="14" x14ac:dyDescent="0.3">
      <c r="A190" s="27"/>
      <c r="B190" s="18">
        <v>0</v>
      </c>
      <c r="C190" s="18">
        <v>0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8">
        <v>0</v>
      </c>
      <c r="K190" s="19">
        <v>0</v>
      </c>
    </row>
    <row r="191" spans="1:11" ht="14" x14ac:dyDescent="0.3">
      <c r="A191" s="27" t="s">
        <v>27</v>
      </c>
      <c r="B191" s="18">
        <v>19</v>
      </c>
      <c r="C191" s="18">
        <v>0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8">
        <v>0</v>
      </c>
      <c r="K191" s="19">
        <v>19</v>
      </c>
    </row>
    <row r="192" spans="1:11" ht="14" x14ac:dyDescent="0.3">
      <c r="A192" s="27"/>
      <c r="B192" s="18">
        <v>0</v>
      </c>
      <c r="C192" s="18">
        <v>0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8">
        <v>0</v>
      </c>
      <c r="K192" s="19">
        <v>0</v>
      </c>
    </row>
    <row r="193" spans="1:11" ht="14" x14ac:dyDescent="0.3">
      <c r="A193" s="27" t="s">
        <v>28</v>
      </c>
      <c r="B193" s="18">
        <v>8</v>
      </c>
      <c r="C193" s="18">
        <v>0</v>
      </c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0</v>
      </c>
      <c r="J193" s="18">
        <v>0</v>
      </c>
      <c r="K193" s="19">
        <v>8</v>
      </c>
    </row>
    <row r="194" spans="1:11" ht="14" x14ac:dyDescent="0.3">
      <c r="A194" s="27"/>
      <c r="B194" s="18">
        <v>0</v>
      </c>
      <c r="C194" s="18">
        <v>0</v>
      </c>
      <c r="D194" s="18">
        <v>0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18">
        <v>0</v>
      </c>
      <c r="K194" s="19">
        <v>0</v>
      </c>
    </row>
    <row r="195" spans="1:11" ht="14" x14ac:dyDescent="0.3">
      <c r="A195" s="27" t="s">
        <v>29</v>
      </c>
      <c r="B195" s="18">
        <v>6</v>
      </c>
      <c r="C195" s="18">
        <v>0</v>
      </c>
      <c r="D195" s="18">
        <v>0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8">
        <v>0</v>
      </c>
      <c r="K195" s="19">
        <v>6</v>
      </c>
    </row>
    <row r="196" spans="1:11" ht="14" x14ac:dyDescent="0.3">
      <c r="A196" s="27"/>
      <c r="B196" s="18">
        <v>0</v>
      </c>
      <c r="C196" s="18">
        <v>0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8">
        <v>0</v>
      </c>
      <c r="K196" s="19">
        <v>0</v>
      </c>
    </row>
    <row r="197" spans="1:11" ht="14" x14ac:dyDescent="0.3">
      <c r="A197" s="27" t="s">
        <v>30</v>
      </c>
      <c r="B197" s="18">
        <v>23</v>
      </c>
      <c r="C197" s="18">
        <v>11</v>
      </c>
      <c r="D197" s="18">
        <v>1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8">
        <v>0</v>
      </c>
      <c r="K197" s="19">
        <v>35</v>
      </c>
    </row>
    <row r="198" spans="1:11" ht="14" x14ac:dyDescent="0.3">
      <c r="A198" s="27"/>
      <c r="B198" s="18">
        <v>0</v>
      </c>
      <c r="C198" s="18">
        <v>0</v>
      </c>
      <c r="D198" s="18">
        <v>0</v>
      </c>
      <c r="E198" s="18">
        <v>0</v>
      </c>
      <c r="F198" s="18">
        <v>0</v>
      </c>
      <c r="G198" s="18">
        <v>0</v>
      </c>
      <c r="H198" s="18">
        <v>0</v>
      </c>
      <c r="I198" s="18">
        <v>0</v>
      </c>
      <c r="J198" s="18">
        <v>0</v>
      </c>
      <c r="K198" s="19">
        <v>0</v>
      </c>
    </row>
    <row r="199" spans="1:11" ht="14" x14ac:dyDescent="0.3">
      <c r="A199" s="27" t="s">
        <v>31</v>
      </c>
      <c r="B199" s="18">
        <v>29</v>
      </c>
      <c r="C199" s="18">
        <v>20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8">
        <v>0</v>
      </c>
      <c r="K199" s="19">
        <v>49</v>
      </c>
    </row>
    <row r="200" spans="1:11" ht="14" x14ac:dyDescent="0.3">
      <c r="A200" s="27"/>
      <c r="B200" s="18">
        <v>0</v>
      </c>
      <c r="C200" s="18">
        <v>0</v>
      </c>
      <c r="D200" s="18">
        <v>0</v>
      </c>
      <c r="E200" s="18">
        <v>0</v>
      </c>
      <c r="F200" s="18">
        <v>0</v>
      </c>
      <c r="G200" s="18">
        <v>0</v>
      </c>
      <c r="H200" s="18">
        <v>0</v>
      </c>
      <c r="I200" s="18">
        <v>0</v>
      </c>
      <c r="J200" s="18">
        <v>0</v>
      </c>
      <c r="K200" s="19">
        <v>0</v>
      </c>
    </row>
    <row r="201" spans="1:11" ht="14" x14ac:dyDescent="0.3">
      <c r="A201" s="27" t="s">
        <v>32</v>
      </c>
      <c r="B201" s="18">
        <v>24</v>
      </c>
      <c r="C201" s="18">
        <v>10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8">
        <v>0</v>
      </c>
      <c r="K201" s="19">
        <v>34</v>
      </c>
    </row>
    <row r="202" spans="1:11" ht="14" x14ac:dyDescent="0.3">
      <c r="A202" s="27"/>
      <c r="B202" s="18">
        <v>0</v>
      </c>
      <c r="C202" s="18">
        <v>0</v>
      </c>
      <c r="D202" s="18">
        <v>0</v>
      </c>
      <c r="E202" s="18">
        <v>0</v>
      </c>
      <c r="F202" s="18">
        <v>0</v>
      </c>
      <c r="G202" s="18">
        <v>0</v>
      </c>
      <c r="H202" s="18">
        <v>0</v>
      </c>
      <c r="I202" s="18">
        <v>0</v>
      </c>
      <c r="J202" s="18">
        <v>0</v>
      </c>
      <c r="K202" s="19">
        <v>0</v>
      </c>
    </row>
    <row r="203" spans="1:11" ht="15.75" customHeight="1" x14ac:dyDescent="0.3">
      <c r="A203" s="27" t="s">
        <v>33</v>
      </c>
      <c r="B203" s="18">
        <v>39</v>
      </c>
      <c r="C203" s="18">
        <v>19</v>
      </c>
      <c r="D203" s="18">
        <v>0</v>
      </c>
      <c r="E203" s="18">
        <v>0</v>
      </c>
      <c r="F203" s="18">
        <v>0</v>
      </c>
      <c r="G203" s="18">
        <v>0</v>
      </c>
      <c r="H203" s="18">
        <v>0</v>
      </c>
      <c r="I203" s="18">
        <v>0</v>
      </c>
      <c r="J203" s="18">
        <v>0</v>
      </c>
      <c r="K203" s="19">
        <v>58</v>
      </c>
    </row>
    <row r="204" spans="1:11" ht="15.75" customHeight="1" x14ac:dyDescent="0.3">
      <c r="A204" s="27"/>
      <c r="B204" s="18">
        <v>0</v>
      </c>
      <c r="C204" s="18">
        <v>0</v>
      </c>
      <c r="D204" s="18">
        <v>0</v>
      </c>
      <c r="E204" s="18">
        <v>0</v>
      </c>
      <c r="F204" s="18">
        <v>0</v>
      </c>
      <c r="G204" s="18">
        <v>0</v>
      </c>
      <c r="H204" s="18">
        <v>0</v>
      </c>
      <c r="I204" s="18">
        <v>0</v>
      </c>
      <c r="J204" s="18">
        <v>0</v>
      </c>
      <c r="K204" s="19">
        <v>0</v>
      </c>
    </row>
    <row r="205" spans="1:11" ht="15.75" customHeight="1" x14ac:dyDescent="0.3">
      <c r="A205" s="27" t="s">
        <v>34</v>
      </c>
      <c r="B205" s="18">
        <v>65</v>
      </c>
      <c r="C205" s="18">
        <v>49</v>
      </c>
      <c r="D205" s="18">
        <v>2</v>
      </c>
      <c r="E205" s="18">
        <v>1</v>
      </c>
      <c r="F205" s="18">
        <v>0</v>
      </c>
      <c r="G205" s="18">
        <v>0</v>
      </c>
      <c r="H205" s="18">
        <v>0</v>
      </c>
      <c r="I205" s="18">
        <v>0</v>
      </c>
      <c r="J205" s="18">
        <v>0</v>
      </c>
      <c r="K205" s="19">
        <v>117</v>
      </c>
    </row>
    <row r="206" spans="1:11" ht="15.75" customHeight="1" x14ac:dyDescent="0.3">
      <c r="A206" s="27"/>
      <c r="B206" s="18">
        <v>0</v>
      </c>
      <c r="C206" s="18">
        <v>0</v>
      </c>
      <c r="D206" s="18">
        <v>0</v>
      </c>
      <c r="E206" s="18">
        <v>0</v>
      </c>
      <c r="F206" s="18">
        <v>0</v>
      </c>
      <c r="G206" s="18">
        <v>0</v>
      </c>
      <c r="H206" s="18">
        <v>0</v>
      </c>
      <c r="I206" s="18">
        <v>0</v>
      </c>
      <c r="J206" s="18">
        <v>0</v>
      </c>
      <c r="K206" s="19">
        <v>0</v>
      </c>
    </row>
    <row r="207" spans="1:11" ht="15.75" customHeight="1" x14ac:dyDescent="0.3">
      <c r="A207" s="27" t="s">
        <v>35</v>
      </c>
      <c r="B207" s="18">
        <v>84</v>
      </c>
      <c r="C207" s="18">
        <v>78</v>
      </c>
      <c r="D207" s="18">
        <v>8</v>
      </c>
      <c r="E207" s="18">
        <v>0</v>
      </c>
      <c r="F207" s="18">
        <v>0</v>
      </c>
      <c r="G207" s="18">
        <v>0</v>
      </c>
      <c r="H207" s="18">
        <v>0</v>
      </c>
      <c r="I207" s="18">
        <v>0</v>
      </c>
      <c r="J207" s="18">
        <v>0</v>
      </c>
      <c r="K207" s="19">
        <v>170</v>
      </c>
    </row>
    <row r="208" spans="1:11" ht="15.75" customHeight="1" x14ac:dyDescent="0.3">
      <c r="A208" s="29"/>
      <c r="B208" s="19">
        <v>0</v>
      </c>
      <c r="C208" s="19">
        <v>0</v>
      </c>
      <c r="D208" s="19">
        <v>0</v>
      </c>
      <c r="E208" s="19">
        <v>0</v>
      </c>
      <c r="F208" s="19">
        <v>0</v>
      </c>
      <c r="G208" s="19">
        <v>0</v>
      </c>
      <c r="H208" s="19">
        <v>0</v>
      </c>
      <c r="I208" s="19">
        <v>0</v>
      </c>
      <c r="J208" s="19">
        <v>0</v>
      </c>
      <c r="K208" s="19">
        <v>0</v>
      </c>
    </row>
    <row r="209" spans="1:11" ht="15.75" customHeight="1" x14ac:dyDescent="0.25">
      <c r="A209" s="63" t="s">
        <v>21</v>
      </c>
      <c r="B209" s="63">
        <v>347</v>
      </c>
      <c r="C209" s="63">
        <v>209</v>
      </c>
      <c r="D209" s="63">
        <v>11</v>
      </c>
      <c r="E209" s="63">
        <v>1</v>
      </c>
      <c r="F209" s="63">
        <v>0</v>
      </c>
      <c r="G209" s="63">
        <v>0</v>
      </c>
      <c r="H209" s="63">
        <v>0</v>
      </c>
      <c r="I209" s="63">
        <v>0</v>
      </c>
      <c r="J209" s="63">
        <v>0</v>
      </c>
      <c r="K209" s="63">
        <v>720</v>
      </c>
    </row>
    <row r="210" spans="1:11" ht="15.75" customHeight="1" x14ac:dyDescent="0.2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</row>
    <row r="211" spans="1:11" ht="15.75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</row>
    <row r="212" spans="1:11" ht="15.75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65" t="s">
        <v>0</v>
      </c>
      <c r="B216" s="66"/>
      <c r="C216" s="66"/>
      <c r="D216" s="66"/>
      <c r="E216" s="66"/>
      <c r="F216" s="2"/>
      <c r="G216" s="2"/>
      <c r="H216" s="2"/>
      <c r="I216" s="2"/>
      <c r="J216" s="2"/>
      <c r="K216" s="2"/>
    </row>
    <row r="217" spans="1:11" ht="15.75" customHeight="1" x14ac:dyDescent="0.3">
      <c r="A217" s="65" t="s">
        <v>1</v>
      </c>
      <c r="B217" s="66"/>
      <c r="C217" s="66"/>
      <c r="D217" s="2"/>
      <c r="E217" s="2"/>
      <c r="F217" s="2"/>
      <c r="G217" s="65" t="s">
        <v>127</v>
      </c>
      <c r="H217" s="66"/>
      <c r="I217" s="66"/>
      <c r="J217" s="1"/>
      <c r="K217" s="2"/>
    </row>
    <row r="218" spans="1:11" ht="15.75" customHeight="1" x14ac:dyDescent="0.3">
      <c r="A218" s="65" t="s">
        <v>39</v>
      </c>
      <c r="B218" s="66"/>
      <c r="C218" s="66"/>
      <c r="D218" s="66"/>
      <c r="E218" s="66"/>
      <c r="F218" s="2"/>
      <c r="G218" s="65" t="s">
        <v>4</v>
      </c>
      <c r="H218" s="66"/>
      <c r="I218" s="66"/>
      <c r="J218" s="66"/>
      <c r="K218" s="2"/>
    </row>
    <row r="219" spans="1:11" ht="15.75" customHeight="1" x14ac:dyDescent="0.3">
      <c r="A219" s="65" t="s">
        <v>5</v>
      </c>
      <c r="B219" s="66"/>
      <c r="C219" s="66"/>
      <c r="D219" s="66"/>
      <c r="E219" s="66"/>
      <c r="F219" s="2"/>
      <c r="G219" s="65" t="s">
        <v>6</v>
      </c>
      <c r="H219" s="66"/>
      <c r="I219" s="66"/>
      <c r="J219" s="6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60" t="s">
        <v>7</v>
      </c>
      <c r="B221" s="61"/>
      <c r="C221" s="61"/>
      <c r="D221" s="61"/>
      <c r="E221" s="61"/>
      <c r="F221" s="61"/>
      <c r="G221" s="61"/>
      <c r="H221" s="61"/>
      <c r="I221" s="61"/>
      <c r="J221" s="61"/>
      <c r="K221" s="62"/>
    </row>
    <row r="222" spans="1:11" ht="15.75" customHeight="1" x14ac:dyDescent="0.3">
      <c r="A222" s="67" t="s">
        <v>8</v>
      </c>
      <c r="B222" s="68"/>
      <c r="C222" s="68"/>
      <c r="D222" s="68"/>
      <c r="E222" s="68"/>
      <c r="F222" s="68"/>
      <c r="G222" s="68"/>
      <c r="H222" s="68"/>
      <c r="I222" s="68"/>
      <c r="J222" s="68"/>
      <c r="K222" s="69"/>
    </row>
    <row r="223" spans="1:11" ht="15.75" customHeight="1" x14ac:dyDescent="0.3">
      <c r="A223" s="4" t="s">
        <v>9</v>
      </c>
      <c r="B223" s="5"/>
      <c r="C223" s="5"/>
      <c r="D223" s="5"/>
      <c r="E223" s="70" t="s">
        <v>10</v>
      </c>
      <c r="F223" s="71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3">
      <c r="A225" s="25" t="s">
        <v>22</v>
      </c>
      <c r="B225" s="28"/>
      <c r="C225" s="28"/>
      <c r="D225" s="28"/>
      <c r="E225" s="28"/>
      <c r="F225" s="28"/>
      <c r="G225" s="28"/>
      <c r="H225" s="28"/>
      <c r="I225" s="28"/>
      <c r="J225" s="28"/>
      <c r="K225" s="59">
        <f>(K10+K53+K96+K139+K182)/5</f>
        <v>-166.2</v>
      </c>
    </row>
    <row r="226" spans="1:11" ht="15.75" customHeight="1" x14ac:dyDescent="0.3">
      <c r="A226" s="27" t="s">
        <v>23</v>
      </c>
      <c r="B226" s="18"/>
      <c r="C226" s="18"/>
      <c r="D226" s="18"/>
      <c r="E226" s="18"/>
      <c r="F226" s="18"/>
      <c r="G226" s="18"/>
      <c r="H226" s="18"/>
      <c r="I226" s="18"/>
      <c r="J226" s="18"/>
      <c r="K226" s="59">
        <f t="shared" ref="K226:K250" si="0">(K11+K54+K97+K140+K183)/5</f>
        <v>0</v>
      </c>
    </row>
    <row r="227" spans="1:11" ht="15.75" customHeight="1" x14ac:dyDescent="0.3">
      <c r="A227" s="27"/>
      <c r="B227" s="18"/>
      <c r="C227" s="18"/>
      <c r="D227" s="18"/>
      <c r="E227" s="18"/>
      <c r="F227" s="18"/>
      <c r="G227" s="18"/>
      <c r="H227" s="18"/>
      <c r="I227" s="18"/>
      <c r="J227" s="18"/>
      <c r="K227" s="59">
        <f t="shared" si="0"/>
        <v>0</v>
      </c>
    </row>
    <row r="228" spans="1:11" ht="15.75" customHeight="1" x14ac:dyDescent="0.3">
      <c r="A228" s="27" t="s">
        <v>24</v>
      </c>
      <c r="B228" s="18">
        <f>(B13+B56+B99+B142+B185)/5</f>
        <v>21.4</v>
      </c>
      <c r="C228" s="18">
        <f t="shared" ref="C228:J228" si="1">(C13+C56+C99+C142+C185)/5</f>
        <v>14.6</v>
      </c>
      <c r="D228" s="18">
        <f t="shared" si="1"/>
        <v>1.4</v>
      </c>
      <c r="E228" s="18">
        <f t="shared" si="1"/>
        <v>0.2</v>
      </c>
      <c r="F228" s="18">
        <f t="shared" si="1"/>
        <v>0</v>
      </c>
      <c r="G228" s="18">
        <f t="shared" si="1"/>
        <v>0</v>
      </c>
      <c r="H228" s="18">
        <f t="shared" si="1"/>
        <v>0</v>
      </c>
      <c r="I228" s="18">
        <f t="shared" si="1"/>
        <v>0</v>
      </c>
      <c r="J228" s="18">
        <f t="shared" si="1"/>
        <v>0</v>
      </c>
      <c r="K228" s="59">
        <f t="shared" si="0"/>
        <v>37.6</v>
      </c>
    </row>
    <row r="229" spans="1:11" ht="15.75" customHeight="1" x14ac:dyDescent="0.3">
      <c r="A229" s="27"/>
      <c r="B229" s="18">
        <f t="shared" ref="B229:J250" si="2">(B14+B57+B100+B143+B186)/5</f>
        <v>0</v>
      </c>
      <c r="C229" s="18">
        <f t="shared" si="2"/>
        <v>0</v>
      </c>
      <c r="D229" s="18">
        <f t="shared" si="2"/>
        <v>0</v>
      </c>
      <c r="E229" s="18">
        <f t="shared" si="2"/>
        <v>0</v>
      </c>
      <c r="F229" s="18">
        <f t="shared" si="2"/>
        <v>0</v>
      </c>
      <c r="G229" s="18">
        <f t="shared" si="2"/>
        <v>0</v>
      </c>
      <c r="H229" s="18">
        <f t="shared" si="2"/>
        <v>0</v>
      </c>
      <c r="I229" s="18">
        <f t="shared" si="2"/>
        <v>0</v>
      </c>
      <c r="J229" s="18">
        <f t="shared" si="2"/>
        <v>0</v>
      </c>
      <c r="K229" s="59">
        <f t="shared" si="0"/>
        <v>0</v>
      </c>
    </row>
    <row r="230" spans="1:11" ht="15.75" customHeight="1" x14ac:dyDescent="0.3">
      <c r="A230" s="27" t="s">
        <v>25</v>
      </c>
      <c r="B230" s="18">
        <f t="shared" si="2"/>
        <v>22.8</v>
      </c>
      <c r="C230" s="18">
        <f t="shared" si="2"/>
        <v>10.199999999999999</v>
      </c>
      <c r="D230" s="18">
        <f t="shared" si="2"/>
        <v>0.4</v>
      </c>
      <c r="E230" s="18">
        <f t="shared" si="2"/>
        <v>0</v>
      </c>
      <c r="F230" s="18">
        <f t="shared" si="2"/>
        <v>0</v>
      </c>
      <c r="G230" s="18">
        <f t="shared" si="2"/>
        <v>0</v>
      </c>
      <c r="H230" s="18">
        <f t="shared" si="2"/>
        <v>0</v>
      </c>
      <c r="I230" s="18">
        <f t="shared" si="2"/>
        <v>0</v>
      </c>
      <c r="J230" s="18">
        <f t="shared" si="2"/>
        <v>0</v>
      </c>
      <c r="K230" s="59">
        <f t="shared" si="0"/>
        <v>33.4</v>
      </c>
    </row>
    <row r="231" spans="1:11" ht="15.75" customHeight="1" x14ac:dyDescent="0.3">
      <c r="A231" s="27"/>
      <c r="B231" s="18">
        <f t="shared" si="2"/>
        <v>0</v>
      </c>
      <c r="C231" s="18">
        <f t="shared" si="2"/>
        <v>0</v>
      </c>
      <c r="D231" s="18">
        <f t="shared" si="2"/>
        <v>0</v>
      </c>
      <c r="E231" s="18">
        <f t="shared" si="2"/>
        <v>0</v>
      </c>
      <c r="F231" s="18">
        <f t="shared" si="2"/>
        <v>0</v>
      </c>
      <c r="G231" s="18">
        <f t="shared" si="2"/>
        <v>0</v>
      </c>
      <c r="H231" s="18">
        <f t="shared" si="2"/>
        <v>0</v>
      </c>
      <c r="I231" s="18">
        <f t="shared" si="2"/>
        <v>0</v>
      </c>
      <c r="J231" s="18">
        <f t="shared" si="2"/>
        <v>0</v>
      </c>
      <c r="K231" s="59">
        <f t="shared" si="0"/>
        <v>0</v>
      </c>
    </row>
    <row r="232" spans="1:11" ht="15.75" customHeight="1" x14ac:dyDescent="0.3">
      <c r="A232" s="27" t="s">
        <v>26</v>
      </c>
      <c r="B232" s="18">
        <f t="shared" si="2"/>
        <v>10.8</v>
      </c>
      <c r="C232" s="18">
        <f t="shared" si="2"/>
        <v>5</v>
      </c>
      <c r="D232" s="18">
        <f t="shared" si="2"/>
        <v>0</v>
      </c>
      <c r="E232" s="18">
        <f t="shared" si="2"/>
        <v>0</v>
      </c>
      <c r="F232" s="18">
        <f t="shared" si="2"/>
        <v>0</v>
      </c>
      <c r="G232" s="18">
        <f t="shared" si="2"/>
        <v>0</v>
      </c>
      <c r="H232" s="18">
        <f t="shared" si="2"/>
        <v>0</v>
      </c>
      <c r="I232" s="18">
        <f t="shared" si="2"/>
        <v>0</v>
      </c>
      <c r="J232" s="18">
        <f t="shared" si="2"/>
        <v>0</v>
      </c>
      <c r="K232" s="59">
        <f t="shared" si="0"/>
        <v>15.8</v>
      </c>
    </row>
    <row r="233" spans="1:11" ht="15.75" customHeight="1" x14ac:dyDescent="0.3">
      <c r="A233" s="27"/>
      <c r="B233" s="18">
        <f t="shared" si="2"/>
        <v>0</v>
      </c>
      <c r="C233" s="18">
        <f t="shared" si="2"/>
        <v>0</v>
      </c>
      <c r="D233" s="18">
        <f t="shared" si="2"/>
        <v>0</v>
      </c>
      <c r="E233" s="18">
        <f t="shared" si="2"/>
        <v>0</v>
      </c>
      <c r="F233" s="18">
        <f t="shared" si="2"/>
        <v>0</v>
      </c>
      <c r="G233" s="18">
        <f t="shared" si="2"/>
        <v>0</v>
      </c>
      <c r="H233" s="18">
        <f t="shared" si="2"/>
        <v>0</v>
      </c>
      <c r="I233" s="18">
        <f t="shared" si="2"/>
        <v>0</v>
      </c>
      <c r="J233" s="18">
        <f t="shared" si="2"/>
        <v>0</v>
      </c>
      <c r="K233" s="59">
        <f t="shared" si="0"/>
        <v>0</v>
      </c>
    </row>
    <row r="234" spans="1:11" ht="15.75" customHeight="1" x14ac:dyDescent="0.3">
      <c r="A234" s="27" t="s">
        <v>27</v>
      </c>
      <c r="B234" s="18">
        <f t="shared" si="2"/>
        <v>8.4</v>
      </c>
      <c r="C234" s="18">
        <f t="shared" si="2"/>
        <v>2.2000000000000002</v>
      </c>
      <c r="D234" s="18">
        <f t="shared" si="2"/>
        <v>0</v>
      </c>
      <c r="E234" s="18">
        <f t="shared" si="2"/>
        <v>0.2</v>
      </c>
      <c r="F234" s="18">
        <f t="shared" si="2"/>
        <v>0</v>
      </c>
      <c r="G234" s="18">
        <f t="shared" si="2"/>
        <v>0</v>
      </c>
      <c r="H234" s="18">
        <f t="shared" si="2"/>
        <v>0</v>
      </c>
      <c r="I234" s="18">
        <f t="shared" si="2"/>
        <v>0</v>
      </c>
      <c r="J234" s="18">
        <f t="shared" si="2"/>
        <v>0</v>
      </c>
      <c r="K234" s="59">
        <f t="shared" si="0"/>
        <v>10.8</v>
      </c>
    </row>
    <row r="235" spans="1:11" ht="15.75" customHeight="1" x14ac:dyDescent="0.3">
      <c r="A235" s="27"/>
      <c r="B235" s="18">
        <f t="shared" si="2"/>
        <v>0</v>
      </c>
      <c r="C235" s="18">
        <f t="shared" si="2"/>
        <v>0</v>
      </c>
      <c r="D235" s="18">
        <f t="shared" si="2"/>
        <v>0</v>
      </c>
      <c r="E235" s="18">
        <f t="shared" si="2"/>
        <v>0</v>
      </c>
      <c r="F235" s="18">
        <f t="shared" si="2"/>
        <v>0</v>
      </c>
      <c r="G235" s="18">
        <f t="shared" si="2"/>
        <v>0</v>
      </c>
      <c r="H235" s="18">
        <f t="shared" si="2"/>
        <v>0</v>
      </c>
      <c r="I235" s="18">
        <f t="shared" si="2"/>
        <v>0</v>
      </c>
      <c r="J235" s="18">
        <f t="shared" si="2"/>
        <v>0</v>
      </c>
      <c r="K235" s="59">
        <f t="shared" si="0"/>
        <v>0</v>
      </c>
    </row>
    <row r="236" spans="1:11" ht="15.75" customHeight="1" x14ac:dyDescent="0.3">
      <c r="A236" s="27" t="s">
        <v>28</v>
      </c>
      <c r="B236" s="18">
        <f t="shared" si="2"/>
        <v>4.4000000000000004</v>
      </c>
      <c r="C236" s="18">
        <f t="shared" si="2"/>
        <v>2.2000000000000002</v>
      </c>
      <c r="D236" s="18">
        <f t="shared" si="2"/>
        <v>0</v>
      </c>
      <c r="E236" s="18">
        <f t="shared" si="2"/>
        <v>0</v>
      </c>
      <c r="F236" s="18">
        <f t="shared" si="2"/>
        <v>0</v>
      </c>
      <c r="G236" s="18">
        <f t="shared" si="2"/>
        <v>0</v>
      </c>
      <c r="H236" s="18">
        <f t="shared" si="2"/>
        <v>0</v>
      </c>
      <c r="I236" s="18">
        <f t="shared" si="2"/>
        <v>0</v>
      </c>
      <c r="J236" s="18">
        <f t="shared" si="2"/>
        <v>0</v>
      </c>
      <c r="K236" s="59">
        <f t="shared" si="0"/>
        <v>6.6</v>
      </c>
    </row>
    <row r="237" spans="1:11" ht="15.75" customHeight="1" x14ac:dyDescent="0.3">
      <c r="A237" s="27"/>
      <c r="B237" s="18">
        <f t="shared" si="2"/>
        <v>0</v>
      </c>
      <c r="C237" s="18">
        <f t="shared" si="2"/>
        <v>0</v>
      </c>
      <c r="D237" s="18">
        <f t="shared" si="2"/>
        <v>0</v>
      </c>
      <c r="E237" s="18">
        <f t="shared" si="2"/>
        <v>0</v>
      </c>
      <c r="F237" s="18">
        <f t="shared" si="2"/>
        <v>0</v>
      </c>
      <c r="G237" s="18">
        <f t="shared" si="2"/>
        <v>0</v>
      </c>
      <c r="H237" s="18">
        <f t="shared" si="2"/>
        <v>0</v>
      </c>
      <c r="I237" s="18">
        <f t="shared" si="2"/>
        <v>0</v>
      </c>
      <c r="J237" s="18">
        <f t="shared" si="2"/>
        <v>0</v>
      </c>
      <c r="K237" s="59">
        <f t="shared" si="0"/>
        <v>0</v>
      </c>
    </row>
    <row r="238" spans="1:11" ht="15.75" customHeight="1" x14ac:dyDescent="0.3">
      <c r="A238" s="27" t="s">
        <v>29</v>
      </c>
      <c r="B238" s="18">
        <f t="shared" si="2"/>
        <v>6.4</v>
      </c>
      <c r="C238" s="18">
        <f t="shared" si="2"/>
        <v>2</v>
      </c>
      <c r="D238" s="18">
        <f t="shared" si="2"/>
        <v>0</v>
      </c>
      <c r="E238" s="18">
        <f t="shared" si="2"/>
        <v>0</v>
      </c>
      <c r="F238" s="18">
        <f t="shared" si="2"/>
        <v>0</v>
      </c>
      <c r="G238" s="18">
        <f t="shared" si="2"/>
        <v>0</v>
      </c>
      <c r="H238" s="18">
        <f t="shared" si="2"/>
        <v>0</v>
      </c>
      <c r="I238" s="18">
        <f t="shared" si="2"/>
        <v>0</v>
      </c>
      <c r="J238" s="18">
        <f t="shared" si="2"/>
        <v>0</v>
      </c>
      <c r="K238" s="59">
        <f t="shared" si="0"/>
        <v>8.4</v>
      </c>
    </row>
    <row r="239" spans="1:11" ht="15.75" customHeight="1" x14ac:dyDescent="0.3">
      <c r="A239" s="27"/>
      <c r="B239" s="18">
        <f t="shared" si="2"/>
        <v>0</v>
      </c>
      <c r="C239" s="18">
        <f t="shared" si="2"/>
        <v>0</v>
      </c>
      <c r="D239" s="18">
        <f t="shared" si="2"/>
        <v>0</v>
      </c>
      <c r="E239" s="18">
        <f t="shared" si="2"/>
        <v>0</v>
      </c>
      <c r="F239" s="18">
        <f t="shared" si="2"/>
        <v>0</v>
      </c>
      <c r="G239" s="18">
        <f t="shared" si="2"/>
        <v>0</v>
      </c>
      <c r="H239" s="18">
        <f t="shared" si="2"/>
        <v>0</v>
      </c>
      <c r="I239" s="18">
        <f t="shared" si="2"/>
        <v>0</v>
      </c>
      <c r="J239" s="18">
        <f t="shared" si="2"/>
        <v>0</v>
      </c>
      <c r="K239" s="59">
        <f t="shared" si="0"/>
        <v>0</v>
      </c>
    </row>
    <row r="240" spans="1:11" ht="15.75" customHeight="1" x14ac:dyDescent="0.3">
      <c r="A240" s="27" t="s">
        <v>30</v>
      </c>
      <c r="B240" s="18">
        <f t="shared" si="2"/>
        <v>11</v>
      </c>
      <c r="C240" s="18">
        <f t="shared" si="2"/>
        <v>7.2</v>
      </c>
      <c r="D240" s="18">
        <f t="shared" si="2"/>
        <v>0.2</v>
      </c>
      <c r="E240" s="18">
        <f t="shared" si="2"/>
        <v>0.2</v>
      </c>
      <c r="F240" s="18">
        <f t="shared" si="2"/>
        <v>0</v>
      </c>
      <c r="G240" s="18">
        <f t="shared" si="2"/>
        <v>0</v>
      </c>
      <c r="H240" s="18">
        <f t="shared" si="2"/>
        <v>0</v>
      </c>
      <c r="I240" s="18">
        <f t="shared" si="2"/>
        <v>0</v>
      </c>
      <c r="J240" s="18">
        <f t="shared" si="2"/>
        <v>0</v>
      </c>
      <c r="K240" s="59">
        <f t="shared" si="0"/>
        <v>18.600000000000001</v>
      </c>
    </row>
    <row r="241" spans="1:11" ht="15.75" customHeight="1" x14ac:dyDescent="0.3">
      <c r="A241" s="27"/>
      <c r="B241" s="18">
        <f t="shared" si="2"/>
        <v>0</v>
      </c>
      <c r="C241" s="18">
        <f t="shared" si="2"/>
        <v>0</v>
      </c>
      <c r="D241" s="18">
        <f t="shared" si="2"/>
        <v>0</v>
      </c>
      <c r="E241" s="18">
        <f t="shared" si="2"/>
        <v>0</v>
      </c>
      <c r="F241" s="18">
        <f t="shared" si="2"/>
        <v>0</v>
      </c>
      <c r="G241" s="18">
        <f t="shared" si="2"/>
        <v>0</v>
      </c>
      <c r="H241" s="18">
        <f t="shared" si="2"/>
        <v>0</v>
      </c>
      <c r="I241" s="18">
        <f t="shared" si="2"/>
        <v>0</v>
      </c>
      <c r="J241" s="18">
        <f t="shared" si="2"/>
        <v>0</v>
      </c>
      <c r="K241" s="59">
        <f t="shared" si="0"/>
        <v>0</v>
      </c>
    </row>
    <row r="242" spans="1:11" ht="15.75" customHeight="1" x14ac:dyDescent="0.3">
      <c r="A242" s="27" t="s">
        <v>31</v>
      </c>
      <c r="B242" s="18">
        <f t="shared" si="2"/>
        <v>18.600000000000001</v>
      </c>
      <c r="C242" s="18">
        <f t="shared" si="2"/>
        <v>9.1999999999999993</v>
      </c>
      <c r="D242" s="18">
        <f t="shared" si="2"/>
        <v>0.6</v>
      </c>
      <c r="E242" s="18">
        <f t="shared" si="2"/>
        <v>0</v>
      </c>
      <c r="F242" s="18">
        <f t="shared" si="2"/>
        <v>0.2</v>
      </c>
      <c r="G242" s="18">
        <f t="shared" si="2"/>
        <v>0</v>
      </c>
      <c r="H242" s="18">
        <f t="shared" si="2"/>
        <v>0</v>
      </c>
      <c r="I242" s="18">
        <f t="shared" si="2"/>
        <v>0</v>
      </c>
      <c r="J242" s="18">
        <f t="shared" si="2"/>
        <v>0</v>
      </c>
      <c r="K242" s="59">
        <f t="shared" si="0"/>
        <v>28.6</v>
      </c>
    </row>
    <row r="243" spans="1:11" ht="15.75" customHeight="1" x14ac:dyDescent="0.3">
      <c r="A243" s="27"/>
      <c r="B243" s="18">
        <f t="shared" si="2"/>
        <v>0</v>
      </c>
      <c r="C243" s="18">
        <f t="shared" si="2"/>
        <v>0</v>
      </c>
      <c r="D243" s="18">
        <f t="shared" si="2"/>
        <v>0</v>
      </c>
      <c r="E243" s="18">
        <f t="shared" si="2"/>
        <v>0</v>
      </c>
      <c r="F243" s="18">
        <f t="shared" si="2"/>
        <v>0</v>
      </c>
      <c r="G243" s="18">
        <f t="shared" si="2"/>
        <v>0</v>
      </c>
      <c r="H243" s="18">
        <f t="shared" si="2"/>
        <v>0</v>
      </c>
      <c r="I243" s="18">
        <f t="shared" si="2"/>
        <v>0</v>
      </c>
      <c r="J243" s="18">
        <f t="shared" si="2"/>
        <v>0</v>
      </c>
      <c r="K243" s="59">
        <f t="shared" si="0"/>
        <v>0</v>
      </c>
    </row>
    <row r="244" spans="1:11" ht="15.75" customHeight="1" x14ac:dyDescent="0.3">
      <c r="A244" s="27" t="s">
        <v>32</v>
      </c>
      <c r="B244" s="18">
        <f t="shared" si="2"/>
        <v>13</v>
      </c>
      <c r="C244" s="18">
        <f t="shared" si="2"/>
        <v>7.4</v>
      </c>
      <c r="D244" s="18">
        <f t="shared" si="2"/>
        <v>0.6</v>
      </c>
      <c r="E244" s="18">
        <f t="shared" si="2"/>
        <v>0.4</v>
      </c>
      <c r="F244" s="18">
        <f t="shared" si="2"/>
        <v>0</v>
      </c>
      <c r="G244" s="18">
        <f t="shared" si="2"/>
        <v>0</v>
      </c>
      <c r="H244" s="18">
        <f t="shared" si="2"/>
        <v>0</v>
      </c>
      <c r="I244" s="18">
        <f t="shared" si="2"/>
        <v>0</v>
      </c>
      <c r="J244" s="18">
        <f t="shared" si="2"/>
        <v>0</v>
      </c>
      <c r="K244" s="59">
        <f t="shared" si="0"/>
        <v>21.4</v>
      </c>
    </row>
    <row r="245" spans="1:11" ht="15.75" customHeight="1" x14ac:dyDescent="0.3">
      <c r="A245" s="27"/>
      <c r="B245" s="18">
        <f t="shared" si="2"/>
        <v>0</v>
      </c>
      <c r="C245" s="18">
        <f t="shared" si="2"/>
        <v>0</v>
      </c>
      <c r="D245" s="18">
        <f t="shared" si="2"/>
        <v>0</v>
      </c>
      <c r="E245" s="18">
        <f t="shared" si="2"/>
        <v>0</v>
      </c>
      <c r="F245" s="18">
        <f t="shared" si="2"/>
        <v>0</v>
      </c>
      <c r="G245" s="18">
        <f t="shared" si="2"/>
        <v>0</v>
      </c>
      <c r="H245" s="18">
        <f t="shared" si="2"/>
        <v>0</v>
      </c>
      <c r="I245" s="18">
        <f t="shared" si="2"/>
        <v>0</v>
      </c>
      <c r="J245" s="18">
        <f t="shared" si="2"/>
        <v>0</v>
      </c>
      <c r="K245" s="59">
        <f t="shared" si="0"/>
        <v>0</v>
      </c>
    </row>
    <row r="246" spans="1:11" ht="15.75" customHeight="1" x14ac:dyDescent="0.3">
      <c r="A246" s="27" t="s">
        <v>33</v>
      </c>
      <c r="B246" s="18">
        <f t="shared" si="2"/>
        <v>19.2</v>
      </c>
      <c r="C246" s="18">
        <f t="shared" si="2"/>
        <v>9.4</v>
      </c>
      <c r="D246" s="18">
        <f t="shared" si="2"/>
        <v>1.4</v>
      </c>
      <c r="E246" s="18">
        <f t="shared" si="2"/>
        <v>0.2</v>
      </c>
      <c r="F246" s="18">
        <f t="shared" si="2"/>
        <v>0</v>
      </c>
      <c r="G246" s="18">
        <f t="shared" si="2"/>
        <v>0</v>
      </c>
      <c r="H246" s="18">
        <f t="shared" si="2"/>
        <v>0</v>
      </c>
      <c r="I246" s="18">
        <f t="shared" si="2"/>
        <v>0</v>
      </c>
      <c r="J246" s="18">
        <f t="shared" si="2"/>
        <v>0</v>
      </c>
      <c r="K246" s="59">
        <f t="shared" si="0"/>
        <v>30.2</v>
      </c>
    </row>
    <row r="247" spans="1:11" ht="15.75" customHeight="1" x14ac:dyDescent="0.3">
      <c r="A247" s="27"/>
      <c r="B247" s="18">
        <f t="shared" si="2"/>
        <v>0</v>
      </c>
      <c r="C247" s="18">
        <f t="shared" si="2"/>
        <v>0</v>
      </c>
      <c r="D247" s="18">
        <f t="shared" si="2"/>
        <v>0</v>
      </c>
      <c r="E247" s="18">
        <f t="shared" si="2"/>
        <v>0</v>
      </c>
      <c r="F247" s="18">
        <f t="shared" si="2"/>
        <v>0</v>
      </c>
      <c r="G247" s="18">
        <f t="shared" si="2"/>
        <v>0</v>
      </c>
      <c r="H247" s="18">
        <f t="shared" si="2"/>
        <v>0</v>
      </c>
      <c r="I247" s="18">
        <f t="shared" si="2"/>
        <v>0</v>
      </c>
      <c r="J247" s="18">
        <f t="shared" si="2"/>
        <v>0</v>
      </c>
      <c r="K247" s="59">
        <f t="shared" si="0"/>
        <v>0</v>
      </c>
    </row>
    <row r="248" spans="1:11" ht="15.75" customHeight="1" x14ac:dyDescent="0.3">
      <c r="A248" s="27" t="s">
        <v>34</v>
      </c>
      <c r="B248" s="18">
        <f t="shared" si="2"/>
        <v>31.8</v>
      </c>
      <c r="C248" s="18">
        <f t="shared" si="2"/>
        <v>31.6</v>
      </c>
      <c r="D248" s="18">
        <f t="shared" si="2"/>
        <v>3.2</v>
      </c>
      <c r="E248" s="18">
        <f t="shared" si="2"/>
        <v>0.4</v>
      </c>
      <c r="F248" s="18">
        <f t="shared" si="2"/>
        <v>0</v>
      </c>
      <c r="G248" s="18">
        <f t="shared" si="2"/>
        <v>0</v>
      </c>
      <c r="H248" s="18">
        <f t="shared" si="2"/>
        <v>0</v>
      </c>
      <c r="I248" s="18">
        <f t="shared" si="2"/>
        <v>0</v>
      </c>
      <c r="J248" s="18">
        <f t="shared" si="2"/>
        <v>0</v>
      </c>
      <c r="K248" s="59">
        <f t="shared" si="0"/>
        <v>67</v>
      </c>
    </row>
    <row r="249" spans="1:11" ht="15.75" customHeight="1" x14ac:dyDescent="0.3">
      <c r="A249" s="27"/>
      <c r="B249" s="18">
        <f t="shared" si="2"/>
        <v>0</v>
      </c>
      <c r="C249" s="18">
        <f t="shared" si="2"/>
        <v>0</v>
      </c>
      <c r="D249" s="18">
        <f t="shared" si="2"/>
        <v>0</v>
      </c>
      <c r="E249" s="18">
        <f t="shared" si="2"/>
        <v>0</v>
      </c>
      <c r="F249" s="18">
        <f t="shared" si="2"/>
        <v>0</v>
      </c>
      <c r="G249" s="18">
        <f t="shared" si="2"/>
        <v>0</v>
      </c>
      <c r="H249" s="18">
        <f t="shared" si="2"/>
        <v>0</v>
      </c>
      <c r="I249" s="18">
        <f t="shared" si="2"/>
        <v>0</v>
      </c>
      <c r="J249" s="18">
        <f t="shared" si="2"/>
        <v>0</v>
      </c>
      <c r="K249" s="59">
        <f t="shared" si="0"/>
        <v>0</v>
      </c>
    </row>
    <row r="250" spans="1:11" ht="15.75" customHeight="1" x14ac:dyDescent="0.3">
      <c r="A250" s="27" t="s">
        <v>35</v>
      </c>
      <c r="B250" s="18">
        <f t="shared" si="2"/>
        <v>54.4</v>
      </c>
      <c r="C250" s="18">
        <f t="shared" si="2"/>
        <v>51.2</v>
      </c>
      <c r="D250" s="18">
        <f t="shared" si="2"/>
        <v>6.2</v>
      </c>
      <c r="E250" s="18">
        <f t="shared" si="2"/>
        <v>0</v>
      </c>
      <c r="F250" s="18">
        <f t="shared" si="2"/>
        <v>0</v>
      </c>
      <c r="G250" s="18">
        <f t="shared" si="2"/>
        <v>0</v>
      </c>
      <c r="H250" s="18">
        <f t="shared" si="2"/>
        <v>0</v>
      </c>
      <c r="I250" s="18">
        <f t="shared" si="2"/>
        <v>0</v>
      </c>
      <c r="J250" s="18">
        <f t="shared" si="2"/>
        <v>0</v>
      </c>
      <c r="K250" s="59">
        <f t="shared" si="0"/>
        <v>111.8</v>
      </c>
    </row>
    <row r="251" spans="1:11" ht="15.75" customHeight="1" x14ac:dyDescent="0.3">
      <c r="A251" s="29"/>
      <c r="B251" s="19"/>
      <c r="C251" s="19"/>
      <c r="D251" s="19"/>
      <c r="E251" s="19"/>
      <c r="F251" s="19"/>
      <c r="G251" s="19"/>
      <c r="H251" s="19"/>
      <c r="I251" s="19"/>
      <c r="J251" s="19"/>
      <c r="K251" s="19"/>
    </row>
    <row r="252" spans="1:11" ht="15.75" customHeight="1" x14ac:dyDescent="0.25">
      <c r="A252" s="63" t="s">
        <v>21</v>
      </c>
      <c r="B252" s="63">
        <f>SUM(B228:B250)</f>
        <v>222.20000000000002</v>
      </c>
      <c r="C252" s="63">
        <f t="shared" ref="C252:I252" si="3">SUM(C228:C250)</f>
        <v>152.19999999999999</v>
      </c>
      <c r="D252" s="63">
        <f t="shared" si="3"/>
        <v>14</v>
      </c>
      <c r="E252" s="63">
        <f t="shared" si="3"/>
        <v>1.6</v>
      </c>
      <c r="F252" s="63">
        <f t="shared" si="3"/>
        <v>0.2</v>
      </c>
      <c r="G252" s="63">
        <f t="shared" si="3"/>
        <v>0</v>
      </c>
      <c r="H252" s="63">
        <f t="shared" si="3"/>
        <v>0</v>
      </c>
      <c r="I252" s="63">
        <f t="shared" si="3"/>
        <v>0</v>
      </c>
      <c r="J252" s="63">
        <f>SUM(J228:J250)</f>
        <v>0</v>
      </c>
      <c r="K252" s="63">
        <f>SUM(K225:K251)</f>
        <v>224</v>
      </c>
    </row>
    <row r="253" spans="1:11" ht="15.75" customHeight="1" x14ac:dyDescent="0.2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</row>
  </sheetData>
  <mergeCells count="126">
    <mergeCell ref="A218:E218"/>
    <mergeCell ref="G218:J218"/>
    <mergeCell ref="A219:E219"/>
    <mergeCell ref="G219:J219"/>
    <mergeCell ref="A221:K221"/>
    <mergeCell ref="A222:K222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A50:K50"/>
    <mergeCell ref="E51:F51"/>
    <mergeCell ref="A80:A81"/>
    <mergeCell ref="B80:B81"/>
    <mergeCell ref="C80:C81"/>
    <mergeCell ref="D80:D81"/>
    <mergeCell ref="E80:E81"/>
    <mergeCell ref="A216:E216"/>
    <mergeCell ref="A217:C217"/>
    <mergeCell ref="G217:I217"/>
    <mergeCell ref="A93:K93"/>
    <mergeCell ref="E94:F94"/>
    <mergeCell ref="F80:F81"/>
    <mergeCell ref="G80:G81"/>
    <mergeCell ref="A87:E87"/>
    <mergeCell ref="A88:C88"/>
    <mergeCell ref="G88:I88"/>
    <mergeCell ref="A89:E89"/>
    <mergeCell ref="A90:E90"/>
    <mergeCell ref="J80:J81"/>
    <mergeCell ref="K80:K81"/>
    <mergeCell ref="G166:G167"/>
    <mergeCell ref="H166:H167"/>
    <mergeCell ref="G174:I174"/>
    <mergeCell ref="G175:J175"/>
    <mergeCell ref="G176:J176"/>
    <mergeCell ref="I166:I167"/>
    <mergeCell ref="J166:J167"/>
    <mergeCell ref="A135:K135"/>
    <mergeCell ref="A136:K136"/>
    <mergeCell ref="E137:F137"/>
    <mergeCell ref="A166:A167"/>
    <mergeCell ref="B166:B167"/>
    <mergeCell ref="C166:C167"/>
    <mergeCell ref="D166:D167"/>
    <mergeCell ref="K166:K167"/>
    <mergeCell ref="E166:E167"/>
    <mergeCell ref="F166:F167"/>
    <mergeCell ref="A173:E173"/>
    <mergeCell ref="A174:C174"/>
    <mergeCell ref="A175:E175"/>
    <mergeCell ref="A176:E176"/>
    <mergeCell ref="A178:K178"/>
    <mergeCell ref="F209:F210"/>
    <mergeCell ref="G209:G210"/>
    <mergeCell ref="H209:H210"/>
    <mergeCell ref="I209:I210"/>
    <mergeCell ref="J209:J210"/>
    <mergeCell ref="K209:K210"/>
    <mergeCell ref="A179:K179"/>
    <mergeCell ref="E180:F180"/>
    <mergeCell ref="A209:A210"/>
    <mergeCell ref="B209:B210"/>
    <mergeCell ref="C209:C210"/>
    <mergeCell ref="D209:D210"/>
    <mergeCell ref="E209:E210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G45:I45"/>
    <mergeCell ref="G46:J46"/>
    <mergeCell ref="G47:J47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4:E44"/>
    <mergeCell ref="A45:C45"/>
    <mergeCell ref="A46:E46"/>
    <mergeCell ref="A47:E47"/>
    <mergeCell ref="A49:K49"/>
    <mergeCell ref="H80:H81"/>
    <mergeCell ref="I80:I81"/>
    <mergeCell ref="A130:E130"/>
    <mergeCell ref="A131:C131"/>
    <mergeCell ref="G131:I131"/>
    <mergeCell ref="A132:E132"/>
    <mergeCell ref="G132:J132"/>
    <mergeCell ref="A133:E133"/>
    <mergeCell ref="G133:J133"/>
    <mergeCell ref="H123:H124"/>
    <mergeCell ref="I123:I124"/>
    <mergeCell ref="J123:J124"/>
    <mergeCell ref="K123:K124"/>
    <mergeCell ref="A123:A124"/>
    <mergeCell ref="B123:B124"/>
    <mergeCell ref="C123:C124"/>
    <mergeCell ref="D123:D124"/>
    <mergeCell ref="E123:E124"/>
    <mergeCell ref="F123:F124"/>
    <mergeCell ref="G123:G124"/>
    <mergeCell ref="G89:J89"/>
    <mergeCell ref="G90:J90"/>
    <mergeCell ref="A92:K9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253"/>
  <sheetViews>
    <sheetView topLeftCell="A244" workbookViewId="0">
      <selection activeCell="I256" sqref="I256"/>
    </sheetView>
  </sheetViews>
  <sheetFormatPr defaultColWidth="12.6328125" defaultRowHeight="15.75" customHeight="1" x14ac:dyDescent="0.25"/>
  <sheetData>
    <row r="1" spans="1:11" ht="14" x14ac:dyDescent="0.3">
      <c r="A1" s="65" t="s">
        <v>0</v>
      </c>
      <c r="B1" s="66"/>
      <c r="C1" s="66"/>
      <c r="D1" s="66"/>
      <c r="E1" s="66"/>
      <c r="F1" s="2"/>
      <c r="G1" s="2"/>
      <c r="H1" s="2"/>
      <c r="I1" s="2"/>
      <c r="J1" s="2"/>
      <c r="K1" s="2"/>
    </row>
    <row r="2" spans="1:11" ht="14" x14ac:dyDescent="0.3">
      <c r="A2" s="65" t="s">
        <v>1</v>
      </c>
      <c r="B2" s="66"/>
      <c r="C2" s="66"/>
      <c r="D2" s="2"/>
      <c r="E2" s="2"/>
      <c r="F2" s="2"/>
      <c r="G2" s="65" t="s">
        <v>82</v>
      </c>
      <c r="H2" s="66"/>
      <c r="I2" s="66"/>
      <c r="J2" s="1"/>
      <c r="K2" s="2"/>
    </row>
    <row r="3" spans="1:11" ht="14" x14ac:dyDescent="0.3">
      <c r="A3" s="65" t="s">
        <v>3</v>
      </c>
      <c r="B3" s="66"/>
      <c r="C3" s="66"/>
      <c r="D3" s="66"/>
      <c r="E3" s="66"/>
      <c r="F3" s="2"/>
      <c r="G3" s="65" t="s">
        <v>4</v>
      </c>
      <c r="H3" s="66"/>
      <c r="I3" s="66"/>
      <c r="J3" s="66"/>
      <c r="K3" s="2"/>
    </row>
    <row r="4" spans="1:11" ht="14" x14ac:dyDescent="0.3">
      <c r="A4" s="65" t="s">
        <v>5</v>
      </c>
      <c r="B4" s="66"/>
      <c r="C4" s="66"/>
      <c r="D4" s="66"/>
      <c r="E4" s="66"/>
      <c r="F4" s="2"/>
      <c r="G4" s="65" t="s">
        <v>6</v>
      </c>
      <c r="H4" s="66"/>
      <c r="I4" s="66"/>
      <c r="J4" s="6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60" t="s">
        <v>7</v>
      </c>
      <c r="B6" s="61"/>
      <c r="C6" s="61"/>
      <c r="D6" s="61"/>
      <c r="E6" s="61"/>
      <c r="F6" s="61"/>
      <c r="G6" s="61"/>
      <c r="H6" s="61"/>
      <c r="I6" s="61"/>
      <c r="J6" s="61"/>
      <c r="K6" s="62"/>
    </row>
    <row r="7" spans="1:11" ht="14" x14ac:dyDescent="0.3">
      <c r="A7" s="67" t="s">
        <v>8</v>
      </c>
      <c r="B7" s="68"/>
      <c r="C7" s="68"/>
      <c r="D7" s="68"/>
      <c r="E7" s="68"/>
      <c r="F7" s="68"/>
      <c r="G7" s="68"/>
      <c r="H7" s="68"/>
      <c r="I7" s="68"/>
      <c r="J7" s="68"/>
      <c r="K7" s="69"/>
    </row>
    <row r="8" spans="1:11" ht="14" x14ac:dyDescent="0.3">
      <c r="A8" s="4" t="s">
        <v>9</v>
      </c>
      <c r="B8" s="5"/>
      <c r="C8" s="5"/>
      <c r="D8" s="5"/>
      <c r="E8" s="70" t="s">
        <v>10</v>
      </c>
      <c r="F8" s="71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59">
        <v>-251</v>
      </c>
    </row>
    <row r="11" spans="1:11" ht="15.75" customHeight="1" x14ac:dyDescent="0.25">
      <c r="A11" s="12" t="s">
        <v>23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4">
        <v>0</v>
      </c>
    </row>
    <row r="12" spans="1:11" ht="15.75" customHeight="1" x14ac:dyDescent="0.25">
      <c r="A12" s="12"/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0</v>
      </c>
    </row>
    <row r="13" spans="1:11" ht="14" x14ac:dyDescent="0.3">
      <c r="A13" s="27" t="s">
        <v>24</v>
      </c>
      <c r="B13" s="18">
        <v>27</v>
      </c>
      <c r="C13" s="18">
        <v>33</v>
      </c>
      <c r="D13" s="18">
        <v>3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9">
        <v>63</v>
      </c>
    </row>
    <row r="14" spans="1:11" ht="14" x14ac:dyDescent="0.3">
      <c r="A14" s="27"/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9">
        <v>0</v>
      </c>
    </row>
    <row r="15" spans="1:11" ht="14" x14ac:dyDescent="0.3">
      <c r="A15" s="27" t="s">
        <v>25</v>
      </c>
      <c r="B15" s="18">
        <v>31</v>
      </c>
      <c r="C15" s="18">
        <v>35</v>
      </c>
      <c r="D15" s="18">
        <v>2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9">
        <v>68</v>
      </c>
    </row>
    <row r="16" spans="1:11" ht="14" x14ac:dyDescent="0.3">
      <c r="A16" s="27"/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9">
        <v>0</v>
      </c>
    </row>
    <row r="17" spans="1:11" ht="14" x14ac:dyDescent="0.3">
      <c r="A17" s="27" t="s">
        <v>26</v>
      </c>
      <c r="B17" s="18">
        <v>23</v>
      </c>
      <c r="C17" s="18">
        <v>17</v>
      </c>
      <c r="D17" s="18">
        <v>1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9">
        <v>41</v>
      </c>
    </row>
    <row r="18" spans="1:11" ht="14" x14ac:dyDescent="0.3">
      <c r="A18" s="27"/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9">
        <v>0</v>
      </c>
    </row>
    <row r="19" spans="1:11" ht="14" x14ac:dyDescent="0.3">
      <c r="A19" s="27" t="s">
        <v>27</v>
      </c>
      <c r="B19" s="18">
        <v>4</v>
      </c>
      <c r="C19" s="18">
        <v>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9">
        <v>5</v>
      </c>
    </row>
    <row r="20" spans="1:11" ht="14" x14ac:dyDescent="0.3">
      <c r="A20" s="27"/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9">
        <v>0</v>
      </c>
    </row>
    <row r="21" spans="1:11" ht="14" x14ac:dyDescent="0.3">
      <c r="A21" s="27" t="s">
        <v>28</v>
      </c>
      <c r="B21" s="18">
        <v>2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9">
        <v>2</v>
      </c>
    </row>
    <row r="22" spans="1:11" ht="14" x14ac:dyDescent="0.3">
      <c r="A22" s="27"/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9">
        <v>0</v>
      </c>
    </row>
    <row r="23" spans="1:11" ht="14" x14ac:dyDescent="0.3">
      <c r="A23" s="27" t="s">
        <v>29</v>
      </c>
      <c r="B23" s="18">
        <v>3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9">
        <v>3</v>
      </c>
    </row>
    <row r="24" spans="1:11" ht="14" x14ac:dyDescent="0.3">
      <c r="A24" s="27"/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9">
        <v>0</v>
      </c>
    </row>
    <row r="25" spans="1:11" ht="14" x14ac:dyDescent="0.3">
      <c r="A25" s="27" t="s">
        <v>30</v>
      </c>
      <c r="B25" s="18">
        <v>6</v>
      </c>
      <c r="C25" s="18">
        <v>4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9">
        <v>10</v>
      </c>
    </row>
    <row r="26" spans="1:11" ht="14" x14ac:dyDescent="0.3">
      <c r="A26" s="27"/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9">
        <v>0</v>
      </c>
    </row>
    <row r="27" spans="1:11" ht="14" x14ac:dyDescent="0.3">
      <c r="A27" s="27" t="s">
        <v>31</v>
      </c>
      <c r="B27" s="18">
        <v>12</v>
      </c>
      <c r="C27" s="18">
        <v>5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9">
        <v>17</v>
      </c>
    </row>
    <row r="28" spans="1:11" ht="14" x14ac:dyDescent="0.3">
      <c r="A28" s="27"/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9">
        <v>0</v>
      </c>
    </row>
    <row r="29" spans="1:11" ht="14" x14ac:dyDescent="0.3">
      <c r="A29" s="27" t="s">
        <v>32</v>
      </c>
      <c r="B29" s="18">
        <v>6</v>
      </c>
      <c r="C29" s="18">
        <v>6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9">
        <v>12</v>
      </c>
    </row>
    <row r="30" spans="1:11" ht="14" x14ac:dyDescent="0.3">
      <c r="A30" s="27"/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9">
        <v>0</v>
      </c>
    </row>
    <row r="31" spans="1:11" ht="14" x14ac:dyDescent="0.3">
      <c r="A31" s="27" t="s">
        <v>33</v>
      </c>
      <c r="B31" s="18">
        <v>11</v>
      </c>
      <c r="C31" s="18">
        <v>5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9">
        <v>16</v>
      </c>
    </row>
    <row r="32" spans="1:11" ht="14" x14ac:dyDescent="0.3">
      <c r="A32" s="27"/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9">
        <v>0</v>
      </c>
    </row>
    <row r="33" spans="1:11" ht="14" x14ac:dyDescent="0.3">
      <c r="A33" s="27" t="s">
        <v>34</v>
      </c>
      <c r="B33" s="18">
        <v>18</v>
      </c>
      <c r="C33" s="18">
        <v>22</v>
      </c>
      <c r="D33" s="18">
        <v>1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9">
        <v>41</v>
      </c>
    </row>
    <row r="34" spans="1:11" ht="14" x14ac:dyDescent="0.3">
      <c r="A34" s="27"/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9">
        <v>0</v>
      </c>
    </row>
    <row r="35" spans="1:11" ht="14" x14ac:dyDescent="0.3">
      <c r="A35" s="27" t="s">
        <v>35</v>
      </c>
      <c r="B35" s="18">
        <v>29</v>
      </c>
      <c r="C35" s="18">
        <v>37</v>
      </c>
      <c r="D35" s="18">
        <v>7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9">
        <v>73</v>
      </c>
    </row>
    <row r="36" spans="1:11" ht="12.5" x14ac:dyDescent="0.25">
      <c r="A36" s="15"/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</row>
    <row r="37" spans="1:11" ht="12.5" x14ac:dyDescent="0.25">
      <c r="A37" s="63" t="s">
        <v>21</v>
      </c>
      <c r="B37" s="63">
        <v>172</v>
      </c>
      <c r="C37" s="63">
        <v>165</v>
      </c>
      <c r="D37" s="63">
        <v>14</v>
      </c>
      <c r="E37" s="63">
        <v>0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100</v>
      </c>
    </row>
    <row r="38" spans="1:11" ht="12.5" x14ac:dyDescent="0.2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1:11" ht="12.5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1:11" ht="12.5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65" t="s">
        <v>0</v>
      </c>
      <c r="B44" s="66"/>
      <c r="C44" s="66"/>
      <c r="D44" s="66"/>
      <c r="E44" s="66"/>
      <c r="F44" s="2"/>
      <c r="G44" s="2"/>
      <c r="H44" s="2"/>
      <c r="I44" s="2"/>
      <c r="J44" s="2"/>
      <c r="K44" s="2"/>
    </row>
    <row r="45" spans="1:11" ht="14" x14ac:dyDescent="0.3">
      <c r="A45" s="65" t="s">
        <v>1</v>
      </c>
      <c r="B45" s="66"/>
      <c r="C45" s="66"/>
      <c r="D45" s="2"/>
      <c r="E45" s="2"/>
      <c r="F45" s="2"/>
      <c r="G45" s="65" t="s">
        <v>83</v>
      </c>
      <c r="H45" s="66"/>
      <c r="I45" s="66"/>
      <c r="J45" s="1"/>
      <c r="K45" s="2"/>
    </row>
    <row r="46" spans="1:11" ht="14" x14ac:dyDescent="0.3">
      <c r="A46" s="65" t="s">
        <v>3</v>
      </c>
      <c r="B46" s="66"/>
      <c r="C46" s="66"/>
      <c r="D46" s="66"/>
      <c r="E46" s="66"/>
      <c r="F46" s="2"/>
      <c r="G46" s="65" t="s">
        <v>4</v>
      </c>
      <c r="H46" s="66"/>
      <c r="I46" s="66"/>
      <c r="J46" s="66"/>
      <c r="K46" s="2"/>
    </row>
    <row r="47" spans="1:11" ht="14" x14ac:dyDescent="0.3">
      <c r="A47" s="65" t="s">
        <v>5</v>
      </c>
      <c r="B47" s="66"/>
      <c r="C47" s="66"/>
      <c r="D47" s="66"/>
      <c r="E47" s="66"/>
      <c r="F47" s="2"/>
      <c r="G47" s="65" t="s">
        <v>6</v>
      </c>
      <c r="H47" s="66"/>
      <c r="I47" s="66"/>
      <c r="J47" s="6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60" t="s">
        <v>7</v>
      </c>
      <c r="B49" s="61"/>
      <c r="C49" s="61"/>
      <c r="D49" s="61"/>
      <c r="E49" s="61"/>
      <c r="F49" s="61"/>
      <c r="G49" s="61"/>
      <c r="H49" s="61"/>
      <c r="I49" s="61"/>
      <c r="J49" s="61"/>
      <c r="K49" s="62"/>
    </row>
    <row r="50" spans="1:11" ht="14" x14ac:dyDescent="0.3">
      <c r="A50" s="67" t="s">
        <v>8</v>
      </c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" x14ac:dyDescent="0.3">
      <c r="A51" s="4" t="s">
        <v>9</v>
      </c>
      <c r="B51" s="5"/>
      <c r="C51" s="5"/>
      <c r="D51" s="5"/>
      <c r="E51" s="70" t="s">
        <v>10</v>
      </c>
      <c r="F51" s="71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59">
        <v>-496</v>
      </c>
    </row>
    <row r="54" spans="1:11" ht="12.5" x14ac:dyDescent="0.25">
      <c r="A54" s="12" t="s">
        <v>23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0</v>
      </c>
    </row>
    <row r="55" spans="1:11" ht="12.5" x14ac:dyDescent="0.25">
      <c r="A55" s="12"/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4">
        <v>0</v>
      </c>
    </row>
    <row r="56" spans="1:11" ht="14" x14ac:dyDescent="0.3">
      <c r="A56" s="27" t="s">
        <v>24</v>
      </c>
      <c r="B56" s="18">
        <v>12</v>
      </c>
      <c r="C56" s="18">
        <v>21</v>
      </c>
      <c r="D56" s="18">
        <v>2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9">
        <v>35</v>
      </c>
    </row>
    <row r="57" spans="1:11" ht="14" x14ac:dyDescent="0.3">
      <c r="A57" s="27"/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9">
        <v>0</v>
      </c>
    </row>
    <row r="58" spans="1:11" ht="14" x14ac:dyDescent="0.3">
      <c r="A58" s="27" t="s">
        <v>25</v>
      </c>
      <c r="B58" s="18">
        <v>22</v>
      </c>
      <c r="C58" s="18">
        <v>19</v>
      </c>
      <c r="D58" s="18">
        <v>2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9">
        <v>43</v>
      </c>
    </row>
    <row r="59" spans="1:11" ht="14" x14ac:dyDescent="0.3">
      <c r="A59" s="27"/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9">
        <v>0</v>
      </c>
    </row>
    <row r="60" spans="1:11" ht="14" x14ac:dyDescent="0.3">
      <c r="A60" s="27" t="s">
        <v>26</v>
      </c>
      <c r="B60" s="18">
        <v>36</v>
      </c>
      <c r="C60" s="18">
        <v>27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9">
        <v>63</v>
      </c>
    </row>
    <row r="61" spans="1:11" ht="14" x14ac:dyDescent="0.3">
      <c r="A61" s="27"/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9">
        <v>0</v>
      </c>
    </row>
    <row r="62" spans="1:11" ht="14" x14ac:dyDescent="0.3">
      <c r="A62" s="27" t="s">
        <v>27</v>
      </c>
      <c r="B62" s="18">
        <v>5</v>
      </c>
      <c r="C62" s="18">
        <v>6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9">
        <v>11</v>
      </c>
    </row>
    <row r="63" spans="1:11" ht="14" x14ac:dyDescent="0.3">
      <c r="A63" s="27"/>
      <c r="B63" s="18">
        <v>0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9">
        <v>0</v>
      </c>
    </row>
    <row r="64" spans="1:11" ht="14" x14ac:dyDescent="0.3">
      <c r="A64" s="27" t="s">
        <v>28</v>
      </c>
      <c r="B64" s="18">
        <v>5</v>
      </c>
      <c r="C64" s="18">
        <v>3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9">
        <v>8</v>
      </c>
    </row>
    <row r="65" spans="1:11" ht="14" x14ac:dyDescent="0.3">
      <c r="A65" s="27"/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9">
        <v>0</v>
      </c>
    </row>
    <row r="66" spans="1:11" ht="14" x14ac:dyDescent="0.3">
      <c r="A66" s="27" t="s">
        <v>29</v>
      </c>
      <c r="B66" s="18">
        <v>7</v>
      </c>
      <c r="C66" s="18">
        <v>2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9">
        <v>9</v>
      </c>
    </row>
    <row r="67" spans="1:11" ht="14" x14ac:dyDescent="0.3">
      <c r="A67" s="27"/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9">
        <v>0</v>
      </c>
    </row>
    <row r="68" spans="1:11" ht="14" x14ac:dyDescent="0.3">
      <c r="A68" s="27" t="s">
        <v>30</v>
      </c>
      <c r="B68" s="18">
        <v>4</v>
      </c>
      <c r="C68" s="18">
        <v>2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9">
        <v>6</v>
      </c>
    </row>
    <row r="69" spans="1:11" ht="14" x14ac:dyDescent="0.3">
      <c r="A69" s="27"/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9">
        <v>0</v>
      </c>
    </row>
    <row r="70" spans="1:11" ht="14" x14ac:dyDescent="0.3">
      <c r="A70" s="27" t="s">
        <v>31</v>
      </c>
      <c r="B70" s="18">
        <v>18</v>
      </c>
      <c r="C70" s="18">
        <v>7</v>
      </c>
      <c r="D70" s="18">
        <v>3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9">
        <v>28</v>
      </c>
    </row>
    <row r="71" spans="1:11" ht="14" x14ac:dyDescent="0.3">
      <c r="A71" s="27"/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9">
        <v>0</v>
      </c>
    </row>
    <row r="72" spans="1:11" ht="14" x14ac:dyDescent="0.3">
      <c r="A72" s="27" t="s">
        <v>32</v>
      </c>
      <c r="B72" s="18">
        <v>7</v>
      </c>
      <c r="C72" s="18">
        <v>7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9">
        <v>14</v>
      </c>
    </row>
    <row r="73" spans="1:11" ht="14" x14ac:dyDescent="0.3">
      <c r="A73" s="27"/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9">
        <v>0</v>
      </c>
    </row>
    <row r="74" spans="1:11" ht="14" x14ac:dyDescent="0.3">
      <c r="A74" s="27" t="s">
        <v>33</v>
      </c>
      <c r="B74" s="18">
        <v>6</v>
      </c>
      <c r="C74" s="18">
        <v>4</v>
      </c>
      <c r="D74" s="18">
        <v>2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9">
        <v>12</v>
      </c>
    </row>
    <row r="75" spans="1:11" ht="14" x14ac:dyDescent="0.3">
      <c r="A75" s="27"/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9">
        <v>0</v>
      </c>
    </row>
    <row r="76" spans="1:11" ht="14" x14ac:dyDescent="0.3">
      <c r="A76" s="27" t="s">
        <v>34</v>
      </c>
      <c r="B76" s="18">
        <v>25</v>
      </c>
      <c r="C76" s="18">
        <v>211</v>
      </c>
      <c r="D76" s="18">
        <v>1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9">
        <v>237</v>
      </c>
    </row>
    <row r="77" spans="1:11" ht="14" x14ac:dyDescent="0.3">
      <c r="A77" s="27"/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9">
        <v>0</v>
      </c>
    </row>
    <row r="78" spans="1:11" ht="14" x14ac:dyDescent="0.3">
      <c r="A78" s="27" t="s">
        <v>35</v>
      </c>
      <c r="B78" s="18">
        <v>95</v>
      </c>
      <c r="C78" s="18">
        <v>29</v>
      </c>
      <c r="D78" s="18">
        <v>6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9">
        <v>130</v>
      </c>
    </row>
    <row r="79" spans="1:11" ht="12.5" x14ac:dyDescent="0.25">
      <c r="A79" s="15"/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</row>
    <row r="80" spans="1:11" ht="12.5" x14ac:dyDescent="0.25">
      <c r="A80" s="63" t="s">
        <v>21</v>
      </c>
      <c r="B80" s="63">
        <v>242</v>
      </c>
      <c r="C80" s="63">
        <v>338</v>
      </c>
      <c r="D80" s="63">
        <v>16</v>
      </c>
      <c r="E80" s="63">
        <v>0</v>
      </c>
      <c r="F80" s="63">
        <v>0</v>
      </c>
      <c r="G80" s="63">
        <v>0</v>
      </c>
      <c r="H80" s="63">
        <v>0</v>
      </c>
      <c r="I80" s="63">
        <v>0</v>
      </c>
      <c r="J80" s="63">
        <v>0</v>
      </c>
      <c r="K80" s="63">
        <v>100</v>
      </c>
    </row>
    <row r="81" spans="1:11" ht="12.5" x14ac:dyDescent="0.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</row>
    <row r="82" spans="1:11" ht="12.5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</row>
    <row r="83" spans="1:11" ht="12.5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65" t="s">
        <v>0</v>
      </c>
      <c r="B87" s="66"/>
      <c r="C87" s="66"/>
      <c r="D87" s="66"/>
      <c r="E87" s="66"/>
      <c r="F87" s="2"/>
      <c r="G87" s="2"/>
      <c r="H87" s="2"/>
      <c r="I87" s="2"/>
      <c r="J87" s="2"/>
      <c r="K87" s="2"/>
    </row>
    <row r="88" spans="1:11" ht="14" x14ac:dyDescent="0.3">
      <c r="A88" s="65" t="s">
        <v>1</v>
      </c>
      <c r="B88" s="66"/>
      <c r="C88" s="66"/>
      <c r="D88" s="2"/>
      <c r="E88" s="2"/>
      <c r="F88" s="2"/>
      <c r="G88" s="65" t="s">
        <v>84</v>
      </c>
      <c r="H88" s="66"/>
      <c r="I88" s="66"/>
      <c r="J88" s="1"/>
      <c r="K88" s="2"/>
    </row>
    <row r="89" spans="1:11" ht="14" x14ac:dyDescent="0.3">
      <c r="A89" s="65" t="s">
        <v>3</v>
      </c>
      <c r="B89" s="66"/>
      <c r="C89" s="66"/>
      <c r="D89" s="66"/>
      <c r="E89" s="66"/>
      <c r="F89" s="2"/>
      <c r="G89" s="65" t="s">
        <v>4</v>
      </c>
      <c r="H89" s="66"/>
      <c r="I89" s="66"/>
      <c r="J89" s="66"/>
      <c r="K89" s="2"/>
    </row>
    <row r="90" spans="1:11" ht="14" x14ac:dyDescent="0.3">
      <c r="A90" s="65" t="s">
        <v>5</v>
      </c>
      <c r="B90" s="66"/>
      <c r="C90" s="66"/>
      <c r="D90" s="66"/>
      <c r="E90" s="66"/>
      <c r="F90" s="2"/>
      <c r="G90" s="65" t="s">
        <v>6</v>
      </c>
      <c r="H90" s="66"/>
      <c r="I90" s="66"/>
      <c r="J90" s="6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60" t="s">
        <v>7</v>
      </c>
      <c r="B92" s="61"/>
      <c r="C92" s="61"/>
      <c r="D92" s="61"/>
      <c r="E92" s="61"/>
      <c r="F92" s="61"/>
      <c r="G92" s="61"/>
      <c r="H92" s="61"/>
      <c r="I92" s="61"/>
      <c r="J92" s="61"/>
      <c r="K92" s="62"/>
    </row>
    <row r="93" spans="1:11" ht="14" x14ac:dyDescent="0.3">
      <c r="A93" s="67" t="s">
        <v>8</v>
      </c>
      <c r="B93" s="68"/>
      <c r="C93" s="68"/>
      <c r="D93" s="68"/>
      <c r="E93" s="68"/>
      <c r="F93" s="68"/>
      <c r="G93" s="68"/>
      <c r="H93" s="68"/>
      <c r="I93" s="68"/>
      <c r="J93" s="68"/>
      <c r="K93" s="69"/>
    </row>
    <row r="94" spans="1:11" ht="14" x14ac:dyDescent="0.3">
      <c r="A94" s="4" t="s">
        <v>9</v>
      </c>
      <c r="B94" s="5"/>
      <c r="C94" s="5"/>
      <c r="D94" s="5"/>
      <c r="E94" s="70" t="s">
        <v>10</v>
      </c>
      <c r="F94" s="71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9" t="s">
        <v>22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59">
        <v>-332</v>
      </c>
    </row>
    <row r="97" spans="1:11" ht="12.5" x14ac:dyDescent="0.25">
      <c r="A97" s="12" t="s">
        <v>23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4">
        <v>0</v>
      </c>
    </row>
    <row r="98" spans="1:11" ht="12.5" x14ac:dyDescent="0.25">
      <c r="A98" s="12"/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0</v>
      </c>
    </row>
    <row r="99" spans="1:11" ht="14" x14ac:dyDescent="0.3">
      <c r="A99" s="27" t="s">
        <v>24</v>
      </c>
      <c r="B99" s="18">
        <v>24</v>
      </c>
      <c r="C99" s="18">
        <v>16</v>
      </c>
      <c r="D99" s="18">
        <v>3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9">
        <v>43</v>
      </c>
    </row>
    <row r="100" spans="1:11" ht="14" x14ac:dyDescent="0.3">
      <c r="A100" s="27"/>
      <c r="B100" s="18">
        <v>0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  <c r="K100" s="19">
        <v>0</v>
      </c>
    </row>
    <row r="101" spans="1:11" ht="14" x14ac:dyDescent="0.3">
      <c r="A101" s="27" t="s">
        <v>25</v>
      </c>
      <c r="B101" s="18">
        <v>33</v>
      </c>
      <c r="C101" s="18">
        <v>34</v>
      </c>
      <c r="D101" s="18">
        <v>2</v>
      </c>
      <c r="E101" s="18">
        <v>1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9">
        <v>70</v>
      </c>
    </row>
    <row r="102" spans="1:11" ht="14" x14ac:dyDescent="0.3">
      <c r="A102" s="27"/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9">
        <v>0</v>
      </c>
    </row>
    <row r="103" spans="1:11" ht="14" x14ac:dyDescent="0.3">
      <c r="A103" s="27" t="s">
        <v>26</v>
      </c>
      <c r="B103" s="18">
        <v>24</v>
      </c>
      <c r="C103" s="18">
        <v>15</v>
      </c>
      <c r="D103" s="18">
        <v>2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9">
        <v>41</v>
      </c>
    </row>
    <row r="104" spans="1:11" ht="14" x14ac:dyDescent="0.3">
      <c r="A104" s="27"/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9">
        <v>0</v>
      </c>
    </row>
    <row r="105" spans="1:11" ht="14" x14ac:dyDescent="0.3">
      <c r="A105" s="27" t="s">
        <v>27</v>
      </c>
      <c r="B105" s="18">
        <v>10</v>
      </c>
      <c r="C105" s="18">
        <v>1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9">
        <v>11</v>
      </c>
    </row>
    <row r="106" spans="1:11" ht="14" x14ac:dyDescent="0.3">
      <c r="A106" s="27"/>
      <c r="B106" s="18">
        <v>0</v>
      </c>
      <c r="C106" s="18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9">
        <v>0</v>
      </c>
    </row>
    <row r="107" spans="1:11" ht="14" x14ac:dyDescent="0.3">
      <c r="A107" s="27" t="s">
        <v>28</v>
      </c>
      <c r="B107" s="18">
        <v>7</v>
      </c>
      <c r="C107" s="18">
        <v>1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9">
        <v>8</v>
      </c>
    </row>
    <row r="108" spans="1:11" ht="14" x14ac:dyDescent="0.3">
      <c r="A108" s="27"/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9">
        <v>0</v>
      </c>
    </row>
    <row r="109" spans="1:11" ht="14" x14ac:dyDescent="0.3">
      <c r="A109" s="27" t="s">
        <v>29</v>
      </c>
      <c r="B109" s="18">
        <v>12</v>
      </c>
      <c r="C109" s="18">
        <v>3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9">
        <v>15</v>
      </c>
    </row>
    <row r="110" spans="1:11" ht="14" x14ac:dyDescent="0.3">
      <c r="A110" s="27"/>
      <c r="B110" s="18">
        <v>0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9">
        <v>0</v>
      </c>
    </row>
    <row r="111" spans="1:11" ht="14" x14ac:dyDescent="0.3">
      <c r="A111" s="27" t="s">
        <v>30</v>
      </c>
      <c r="B111" s="18">
        <v>8</v>
      </c>
      <c r="C111" s="18">
        <v>4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9">
        <v>12</v>
      </c>
    </row>
    <row r="112" spans="1:11" ht="14" x14ac:dyDescent="0.3">
      <c r="A112" s="27"/>
      <c r="B112" s="18">
        <v>0</v>
      </c>
      <c r="C112" s="18">
        <v>0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9">
        <v>0</v>
      </c>
    </row>
    <row r="113" spans="1:11" ht="14" x14ac:dyDescent="0.3">
      <c r="A113" s="27" t="s">
        <v>31</v>
      </c>
      <c r="B113" s="18">
        <v>33</v>
      </c>
      <c r="C113" s="18">
        <v>1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9">
        <v>34</v>
      </c>
    </row>
    <row r="114" spans="1:11" ht="14" x14ac:dyDescent="0.3">
      <c r="A114" s="27"/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9">
        <v>0</v>
      </c>
    </row>
    <row r="115" spans="1:11" ht="14" x14ac:dyDescent="0.3">
      <c r="A115" s="27" t="s">
        <v>32</v>
      </c>
      <c r="B115" s="18">
        <v>26</v>
      </c>
      <c r="C115" s="18">
        <v>4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9">
        <v>30</v>
      </c>
    </row>
    <row r="116" spans="1:11" ht="14" x14ac:dyDescent="0.3">
      <c r="A116" s="27"/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9">
        <v>0</v>
      </c>
    </row>
    <row r="117" spans="1:11" ht="14" x14ac:dyDescent="0.3">
      <c r="A117" s="27" t="s">
        <v>33</v>
      </c>
      <c r="B117" s="18">
        <v>21</v>
      </c>
      <c r="C117" s="18">
        <v>10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9">
        <v>31</v>
      </c>
    </row>
    <row r="118" spans="1:11" ht="14" x14ac:dyDescent="0.3">
      <c r="A118" s="27"/>
      <c r="B118" s="18">
        <v>0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9">
        <v>0</v>
      </c>
    </row>
    <row r="119" spans="1:11" ht="14" x14ac:dyDescent="0.3">
      <c r="A119" s="27" t="s">
        <v>34</v>
      </c>
      <c r="B119" s="18">
        <v>29</v>
      </c>
      <c r="C119" s="18">
        <v>13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9">
        <v>42</v>
      </c>
    </row>
    <row r="120" spans="1:11" ht="14" x14ac:dyDescent="0.3">
      <c r="A120" s="27"/>
      <c r="B120" s="18">
        <v>0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  <c r="K120" s="19">
        <v>0</v>
      </c>
    </row>
    <row r="121" spans="1:11" ht="14" x14ac:dyDescent="0.3">
      <c r="A121" s="27" t="s">
        <v>35</v>
      </c>
      <c r="B121" s="18">
        <v>57</v>
      </c>
      <c r="C121" s="18">
        <v>31</v>
      </c>
      <c r="D121" s="18">
        <v>6</v>
      </c>
      <c r="E121" s="18">
        <v>0</v>
      </c>
      <c r="F121" s="18">
        <v>1</v>
      </c>
      <c r="G121" s="18">
        <v>0</v>
      </c>
      <c r="H121" s="18">
        <v>0</v>
      </c>
      <c r="I121" s="18">
        <v>0</v>
      </c>
      <c r="J121" s="18">
        <v>0</v>
      </c>
      <c r="K121" s="19">
        <v>95</v>
      </c>
    </row>
    <row r="122" spans="1:11" ht="12.5" x14ac:dyDescent="0.25">
      <c r="A122" s="15"/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</row>
    <row r="123" spans="1:11" ht="12.5" x14ac:dyDescent="0.25">
      <c r="A123" s="63" t="s">
        <v>21</v>
      </c>
      <c r="B123" s="63">
        <v>284</v>
      </c>
      <c r="C123" s="63">
        <v>133</v>
      </c>
      <c r="D123" s="63">
        <v>13</v>
      </c>
      <c r="E123" s="63">
        <v>1</v>
      </c>
      <c r="F123" s="63">
        <v>1</v>
      </c>
      <c r="G123" s="63">
        <v>0</v>
      </c>
      <c r="H123" s="63">
        <v>0</v>
      </c>
      <c r="I123" s="63">
        <v>0</v>
      </c>
      <c r="J123" s="63">
        <v>0</v>
      </c>
      <c r="K123" s="63">
        <v>100</v>
      </c>
    </row>
    <row r="124" spans="1:11" ht="12.5" x14ac:dyDescent="0.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2.5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 spans="1:11" ht="12.5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65" t="s">
        <v>0</v>
      </c>
      <c r="B130" s="66"/>
      <c r="C130" s="66"/>
      <c r="D130" s="66"/>
      <c r="E130" s="66"/>
      <c r="F130" s="2"/>
      <c r="G130" s="2"/>
      <c r="H130" s="2"/>
      <c r="I130" s="2"/>
      <c r="J130" s="2"/>
      <c r="K130" s="2"/>
    </row>
    <row r="131" spans="1:11" ht="14" x14ac:dyDescent="0.3">
      <c r="A131" s="65" t="s">
        <v>1</v>
      </c>
      <c r="B131" s="66"/>
      <c r="C131" s="66"/>
      <c r="D131" s="2"/>
      <c r="E131" s="2"/>
      <c r="F131" s="2"/>
      <c r="G131" s="65" t="s">
        <v>85</v>
      </c>
      <c r="H131" s="66"/>
      <c r="I131" s="66"/>
      <c r="J131" s="1"/>
      <c r="K131" s="2"/>
    </row>
    <row r="132" spans="1:11" ht="14" x14ac:dyDescent="0.3">
      <c r="A132" s="65" t="s">
        <v>3</v>
      </c>
      <c r="B132" s="66"/>
      <c r="C132" s="66"/>
      <c r="D132" s="66"/>
      <c r="E132" s="66"/>
      <c r="F132" s="2"/>
      <c r="G132" s="65" t="s">
        <v>4</v>
      </c>
      <c r="H132" s="66"/>
      <c r="I132" s="66"/>
      <c r="J132" s="66"/>
      <c r="K132" s="2"/>
    </row>
    <row r="133" spans="1:11" ht="14" x14ac:dyDescent="0.3">
      <c r="A133" s="65" t="s">
        <v>5</v>
      </c>
      <c r="B133" s="66"/>
      <c r="C133" s="66"/>
      <c r="D133" s="66"/>
      <c r="E133" s="66"/>
      <c r="F133" s="2"/>
      <c r="G133" s="65" t="s">
        <v>6</v>
      </c>
      <c r="H133" s="66"/>
      <c r="I133" s="66"/>
      <c r="J133" s="6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60" t="s">
        <v>7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2"/>
    </row>
    <row r="136" spans="1:11" ht="14" x14ac:dyDescent="0.3">
      <c r="A136" s="67" t="s">
        <v>8</v>
      </c>
      <c r="B136" s="68"/>
      <c r="C136" s="68"/>
      <c r="D136" s="68"/>
      <c r="E136" s="68"/>
      <c r="F136" s="68"/>
      <c r="G136" s="68"/>
      <c r="H136" s="68"/>
      <c r="I136" s="68"/>
      <c r="J136" s="68"/>
      <c r="K136" s="69"/>
    </row>
    <row r="137" spans="1:11" ht="14" x14ac:dyDescent="0.3">
      <c r="A137" s="4" t="s">
        <v>9</v>
      </c>
      <c r="B137" s="5"/>
      <c r="C137" s="5"/>
      <c r="D137" s="5"/>
      <c r="E137" s="70" t="s">
        <v>10</v>
      </c>
      <c r="F137" s="71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>
        <v>0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59">
        <v>-496</v>
      </c>
    </row>
    <row r="140" spans="1:11" ht="12.5" x14ac:dyDescent="0.25">
      <c r="A140" s="12" t="s">
        <v>23</v>
      </c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0</v>
      </c>
    </row>
    <row r="141" spans="1:11" ht="12.5" x14ac:dyDescent="0.25">
      <c r="A141" s="12"/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4">
        <v>0</v>
      </c>
    </row>
    <row r="142" spans="1:11" ht="14" x14ac:dyDescent="0.3">
      <c r="A142" s="27" t="s">
        <v>24</v>
      </c>
      <c r="B142" s="18">
        <v>12</v>
      </c>
      <c r="C142" s="18">
        <v>21</v>
      </c>
      <c r="D142" s="18">
        <v>2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9">
        <v>35</v>
      </c>
    </row>
    <row r="143" spans="1:11" ht="14" x14ac:dyDescent="0.3">
      <c r="A143" s="27"/>
      <c r="B143" s="18">
        <v>0</v>
      </c>
      <c r="C143" s="18">
        <v>0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9">
        <v>0</v>
      </c>
    </row>
    <row r="144" spans="1:11" ht="14" x14ac:dyDescent="0.3">
      <c r="A144" s="27" t="s">
        <v>25</v>
      </c>
      <c r="B144" s="18">
        <v>22</v>
      </c>
      <c r="C144" s="18">
        <v>19</v>
      </c>
      <c r="D144" s="18">
        <v>2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9">
        <v>43</v>
      </c>
    </row>
    <row r="145" spans="1:11" ht="14" x14ac:dyDescent="0.3">
      <c r="A145" s="27"/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  <c r="K145" s="19">
        <v>0</v>
      </c>
    </row>
    <row r="146" spans="1:11" ht="14" x14ac:dyDescent="0.3">
      <c r="A146" s="27" t="s">
        <v>26</v>
      </c>
      <c r="B146" s="18">
        <v>36</v>
      </c>
      <c r="C146" s="18">
        <v>27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9">
        <v>63</v>
      </c>
    </row>
    <row r="147" spans="1:11" ht="14" x14ac:dyDescent="0.3">
      <c r="A147" s="27"/>
      <c r="B147" s="18">
        <v>0</v>
      </c>
      <c r="C147" s="18">
        <v>0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0</v>
      </c>
      <c r="K147" s="19">
        <v>0</v>
      </c>
    </row>
    <row r="148" spans="1:11" ht="14" x14ac:dyDescent="0.3">
      <c r="A148" s="27" t="s">
        <v>27</v>
      </c>
      <c r="B148" s="18">
        <v>5</v>
      </c>
      <c r="C148" s="18">
        <v>6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9">
        <v>11</v>
      </c>
    </row>
    <row r="149" spans="1:11" ht="14" x14ac:dyDescent="0.3">
      <c r="A149" s="27"/>
      <c r="B149" s="18">
        <v>0</v>
      </c>
      <c r="C149" s="18">
        <v>0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  <c r="K149" s="19">
        <v>0</v>
      </c>
    </row>
    <row r="150" spans="1:11" ht="14" x14ac:dyDescent="0.3">
      <c r="A150" s="27" t="s">
        <v>28</v>
      </c>
      <c r="B150" s="18">
        <v>5</v>
      </c>
      <c r="C150" s="18">
        <v>3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9">
        <v>8</v>
      </c>
    </row>
    <row r="151" spans="1:11" ht="14" x14ac:dyDescent="0.3">
      <c r="A151" s="27"/>
      <c r="B151" s="18">
        <v>0</v>
      </c>
      <c r="C151" s="18">
        <v>0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9">
        <v>0</v>
      </c>
    </row>
    <row r="152" spans="1:11" ht="14" x14ac:dyDescent="0.3">
      <c r="A152" s="27" t="s">
        <v>29</v>
      </c>
      <c r="B152" s="18">
        <v>7</v>
      </c>
      <c r="C152" s="18">
        <v>2</v>
      </c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9">
        <v>9</v>
      </c>
    </row>
    <row r="153" spans="1:11" ht="14" x14ac:dyDescent="0.3">
      <c r="A153" s="27"/>
      <c r="B153" s="18">
        <v>0</v>
      </c>
      <c r="C153" s="18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0</v>
      </c>
      <c r="K153" s="19">
        <v>0</v>
      </c>
    </row>
    <row r="154" spans="1:11" ht="14" x14ac:dyDescent="0.3">
      <c r="A154" s="27" t="s">
        <v>30</v>
      </c>
      <c r="B154" s="18">
        <v>4</v>
      </c>
      <c r="C154" s="18">
        <v>2</v>
      </c>
      <c r="D154" s="18">
        <v>0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9">
        <v>6</v>
      </c>
    </row>
    <row r="155" spans="1:11" ht="14" x14ac:dyDescent="0.3">
      <c r="A155" s="27"/>
      <c r="B155" s="18">
        <v>0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9">
        <v>0</v>
      </c>
    </row>
    <row r="156" spans="1:11" ht="14" x14ac:dyDescent="0.3">
      <c r="A156" s="27" t="s">
        <v>31</v>
      </c>
      <c r="B156" s="18">
        <v>18</v>
      </c>
      <c r="C156" s="18">
        <v>7</v>
      </c>
      <c r="D156" s="18">
        <v>3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0</v>
      </c>
      <c r="K156" s="19">
        <v>28</v>
      </c>
    </row>
    <row r="157" spans="1:11" ht="14" x14ac:dyDescent="0.3">
      <c r="A157" s="27"/>
      <c r="B157" s="18">
        <v>0</v>
      </c>
      <c r="C157" s="18">
        <v>0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9">
        <v>0</v>
      </c>
    </row>
    <row r="158" spans="1:11" ht="14" x14ac:dyDescent="0.3">
      <c r="A158" s="27" t="s">
        <v>32</v>
      </c>
      <c r="B158" s="18">
        <v>7</v>
      </c>
      <c r="C158" s="18">
        <v>7</v>
      </c>
      <c r="D158" s="18">
        <v>0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9">
        <v>14</v>
      </c>
    </row>
    <row r="159" spans="1:11" ht="14" x14ac:dyDescent="0.3">
      <c r="A159" s="27"/>
      <c r="B159" s="18">
        <v>0</v>
      </c>
      <c r="C159" s="18">
        <v>0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9">
        <v>0</v>
      </c>
    </row>
    <row r="160" spans="1:11" ht="14" x14ac:dyDescent="0.3">
      <c r="A160" s="27" t="s">
        <v>33</v>
      </c>
      <c r="B160" s="18">
        <v>6</v>
      </c>
      <c r="C160" s="18">
        <v>4</v>
      </c>
      <c r="D160" s="18">
        <v>2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9">
        <v>12</v>
      </c>
    </row>
    <row r="161" spans="1:11" ht="14" x14ac:dyDescent="0.3">
      <c r="A161" s="27"/>
      <c r="B161" s="18">
        <v>0</v>
      </c>
      <c r="C161" s="18">
        <v>0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9">
        <v>0</v>
      </c>
    </row>
    <row r="162" spans="1:11" ht="14" x14ac:dyDescent="0.3">
      <c r="A162" s="27" t="s">
        <v>34</v>
      </c>
      <c r="B162" s="18">
        <v>25</v>
      </c>
      <c r="C162" s="18">
        <v>211</v>
      </c>
      <c r="D162" s="18">
        <v>1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0</v>
      </c>
      <c r="K162" s="19">
        <v>237</v>
      </c>
    </row>
    <row r="163" spans="1:11" ht="14" x14ac:dyDescent="0.3">
      <c r="A163" s="27"/>
      <c r="B163" s="18">
        <v>0</v>
      </c>
      <c r="C163" s="18">
        <v>0</v>
      </c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0</v>
      </c>
      <c r="K163" s="19">
        <v>0</v>
      </c>
    </row>
    <row r="164" spans="1:11" ht="14" x14ac:dyDescent="0.3">
      <c r="A164" s="27" t="s">
        <v>35</v>
      </c>
      <c r="B164" s="18">
        <v>95</v>
      </c>
      <c r="C164" s="18">
        <v>29</v>
      </c>
      <c r="D164" s="18">
        <v>6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9">
        <v>130</v>
      </c>
    </row>
    <row r="165" spans="1:11" ht="12.5" x14ac:dyDescent="0.25">
      <c r="A165" s="15"/>
      <c r="B165" s="14">
        <v>0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</row>
    <row r="166" spans="1:11" ht="12.5" x14ac:dyDescent="0.25">
      <c r="A166" s="63" t="s">
        <v>21</v>
      </c>
      <c r="B166" s="63">
        <v>242</v>
      </c>
      <c r="C166" s="63">
        <v>338</v>
      </c>
      <c r="D166" s="63">
        <v>16</v>
      </c>
      <c r="E166" s="63">
        <v>0</v>
      </c>
      <c r="F166" s="63">
        <v>0</v>
      </c>
      <c r="G166" s="63">
        <v>0</v>
      </c>
      <c r="H166" s="63">
        <v>0</v>
      </c>
      <c r="I166" s="63">
        <v>0</v>
      </c>
      <c r="J166" s="63">
        <v>0</v>
      </c>
      <c r="K166" s="63">
        <v>100</v>
      </c>
    </row>
    <row r="167" spans="1:11" ht="12.5" x14ac:dyDescent="0.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</row>
    <row r="168" spans="1:11" ht="12.5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 spans="1:11" ht="12.5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65" t="s">
        <v>0</v>
      </c>
      <c r="B173" s="66"/>
      <c r="C173" s="66"/>
      <c r="D173" s="66"/>
      <c r="E173" s="66"/>
      <c r="F173" s="2"/>
      <c r="G173" s="2"/>
      <c r="H173" s="2"/>
      <c r="I173" s="2"/>
      <c r="J173" s="2"/>
      <c r="K173" s="2"/>
    </row>
    <row r="174" spans="1:11" ht="14" x14ac:dyDescent="0.3">
      <c r="A174" s="65" t="s">
        <v>1</v>
      </c>
      <c r="B174" s="66"/>
      <c r="C174" s="66"/>
      <c r="D174" s="2"/>
      <c r="E174" s="2"/>
      <c r="F174" s="2"/>
      <c r="G174" s="65" t="s">
        <v>86</v>
      </c>
      <c r="H174" s="66"/>
      <c r="I174" s="66"/>
      <c r="J174" s="1"/>
      <c r="K174" s="2"/>
    </row>
    <row r="175" spans="1:11" ht="14" x14ac:dyDescent="0.3">
      <c r="A175" s="65" t="s">
        <v>39</v>
      </c>
      <c r="B175" s="66"/>
      <c r="C175" s="66"/>
      <c r="D175" s="66"/>
      <c r="E175" s="66"/>
      <c r="F175" s="2"/>
      <c r="G175" s="65" t="s">
        <v>4</v>
      </c>
      <c r="H175" s="66"/>
      <c r="I175" s="66"/>
      <c r="J175" s="66"/>
      <c r="K175" s="2"/>
    </row>
    <row r="176" spans="1:11" ht="14" x14ac:dyDescent="0.3">
      <c r="A176" s="65" t="s">
        <v>5</v>
      </c>
      <c r="B176" s="66"/>
      <c r="C176" s="66"/>
      <c r="D176" s="66"/>
      <c r="E176" s="66"/>
      <c r="F176" s="2"/>
      <c r="G176" s="65" t="s">
        <v>6</v>
      </c>
      <c r="H176" s="66"/>
      <c r="I176" s="66"/>
      <c r="J176" s="6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60" t="s">
        <v>7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2"/>
    </row>
    <row r="179" spans="1:11" ht="14" x14ac:dyDescent="0.3">
      <c r="A179" s="67" t="s">
        <v>8</v>
      </c>
      <c r="B179" s="68"/>
      <c r="C179" s="68"/>
      <c r="D179" s="68"/>
      <c r="E179" s="68"/>
      <c r="F179" s="68"/>
      <c r="G179" s="68"/>
      <c r="H179" s="68"/>
      <c r="I179" s="68"/>
      <c r="J179" s="68"/>
      <c r="K179" s="69"/>
    </row>
    <row r="180" spans="1:11" ht="14" x14ac:dyDescent="0.3">
      <c r="A180" s="4" t="s">
        <v>9</v>
      </c>
      <c r="B180" s="5"/>
      <c r="C180" s="5"/>
      <c r="D180" s="5"/>
      <c r="E180" s="70" t="s">
        <v>10</v>
      </c>
      <c r="F180" s="71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4" x14ac:dyDescent="0.3">
      <c r="A182" s="25" t="s">
        <v>22</v>
      </c>
      <c r="B182" s="28">
        <v>0</v>
      </c>
      <c r="C182" s="28">
        <v>0</v>
      </c>
      <c r="D182" s="28">
        <v>0</v>
      </c>
      <c r="E182" s="28">
        <v>0</v>
      </c>
      <c r="F182" s="28">
        <v>0</v>
      </c>
      <c r="G182" s="28">
        <v>0</v>
      </c>
      <c r="H182" s="28">
        <v>0</v>
      </c>
      <c r="I182" s="28">
        <v>0</v>
      </c>
      <c r="J182" s="28">
        <v>0</v>
      </c>
      <c r="K182" s="59">
        <v>163</v>
      </c>
    </row>
    <row r="183" spans="1:11" ht="14" x14ac:dyDescent="0.3">
      <c r="A183" s="27" t="s">
        <v>23</v>
      </c>
      <c r="B183" s="18">
        <v>0</v>
      </c>
      <c r="C183" s="18">
        <v>0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8">
        <v>0</v>
      </c>
      <c r="K183" s="19">
        <v>0</v>
      </c>
    </row>
    <row r="184" spans="1:11" ht="14" x14ac:dyDescent="0.3">
      <c r="A184" s="27"/>
      <c r="B184" s="18">
        <v>0</v>
      </c>
      <c r="C184" s="18">
        <v>0</v>
      </c>
      <c r="D184" s="18">
        <v>0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8">
        <v>0</v>
      </c>
      <c r="K184" s="19">
        <v>0</v>
      </c>
    </row>
    <row r="185" spans="1:11" ht="14" x14ac:dyDescent="0.3">
      <c r="A185" s="27" t="s">
        <v>24</v>
      </c>
      <c r="B185" s="18">
        <v>23</v>
      </c>
      <c r="C185" s="18">
        <v>24</v>
      </c>
      <c r="D185" s="18">
        <v>1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8">
        <v>0</v>
      </c>
      <c r="K185" s="19">
        <v>48</v>
      </c>
    </row>
    <row r="186" spans="1:11" ht="14" x14ac:dyDescent="0.3">
      <c r="A186" s="27"/>
      <c r="B186" s="18">
        <v>0</v>
      </c>
      <c r="C186" s="18">
        <v>0</v>
      </c>
      <c r="D186" s="18">
        <v>0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8">
        <v>0</v>
      </c>
      <c r="K186" s="19">
        <v>0</v>
      </c>
    </row>
    <row r="187" spans="1:11" ht="14" x14ac:dyDescent="0.3">
      <c r="A187" s="27" t="s">
        <v>25</v>
      </c>
      <c r="B187" s="18">
        <v>42</v>
      </c>
      <c r="C187" s="18">
        <v>23</v>
      </c>
      <c r="D187" s="18">
        <v>2</v>
      </c>
      <c r="E187" s="18">
        <v>0</v>
      </c>
      <c r="F187" s="18">
        <v>1</v>
      </c>
      <c r="G187" s="18">
        <v>0</v>
      </c>
      <c r="H187" s="18">
        <v>0</v>
      </c>
      <c r="I187" s="18">
        <v>0</v>
      </c>
      <c r="J187" s="18">
        <v>0</v>
      </c>
      <c r="K187" s="19">
        <v>68</v>
      </c>
    </row>
    <row r="188" spans="1:11" ht="14" x14ac:dyDescent="0.3">
      <c r="A188" s="27"/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8">
        <v>0</v>
      </c>
      <c r="K188" s="19">
        <v>0</v>
      </c>
    </row>
    <row r="189" spans="1:11" ht="14" x14ac:dyDescent="0.3">
      <c r="A189" s="27" t="s">
        <v>26</v>
      </c>
      <c r="B189" s="18">
        <v>53</v>
      </c>
      <c r="C189" s="18">
        <v>15</v>
      </c>
      <c r="D189" s="18">
        <v>2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8">
        <v>0</v>
      </c>
      <c r="K189" s="19">
        <v>70</v>
      </c>
    </row>
    <row r="190" spans="1:11" ht="14" x14ac:dyDescent="0.3">
      <c r="A190" s="27"/>
      <c r="B190" s="18">
        <v>0</v>
      </c>
      <c r="C190" s="18">
        <v>0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8">
        <v>0</v>
      </c>
      <c r="K190" s="19">
        <v>0</v>
      </c>
    </row>
    <row r="191" spans="1:11" ht="14" x14ac:dyDescent="0.3">
      <c r="A191" s="27" t="s">
        <v>27</v>
      </c>
      <c r="B191" s="18">
        <v>19</v>
      </c>
      <c r="C191" s="18">
        <v>3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8">
        <v>0</v>
      </c>
      <c r="K191" s="19">
        <v>22</v>
      </c>
    </row>
    <row r="192" spans="1:11" ht="14" x14ac:dyDescent="0.3">
      <c r="A192" s="27"/>
      <c r="B192" s="18">
        <v>0</v>
      </c>
      <c r="C192" s="18">
        <v>0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8">
        <v>0</v>
      </c>
      <c r="K192" s="19">
        <v>0</v>
      </c>
    </row>
    <row r="193" spans="1:11" ht="14" x14ac:dyDescent="0.3">
      <c r="A193" s="27" t="s">
        <v>28</v>
      </c>
      <c r="B193" s="18">
        <v>11</v>
      </c>
      <c r="C193" s="18">
        <v>1</v>
      </c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0</v>
      </c>
      <c r="J193" s="18">
        <v>0</v>
      </c>
      <c r="K193" s="19">
        <v>12</v>
      </c>
    </row>
    <row r="194" spans="1:11" ht="14" x14ac:dyDescent="0.3">
      <c r="A194" s="27"/>
      <c r="B194" s="18">
        <v>0</v>
      </c>
      <c r="C194" s="18">
        <v>0</v>
      </c>
      <c r="D194" s="18">
        <v>0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18">
        <v>0</v>
      </c>
      <c r="K194" s="19">
        <v>0</v>
      </c>
    </row>
    <row r="195" spans="1:11" ht="14" x14ac:dyDescent="0.3">
      <c r="A195" s="27" t="s">
        <v>29</v>
      </c>
      <c r="B195" s="18">
        <v>8</v>
      </c>
      <c r="C195" s="18">
        <v>2</v>
      </c>
      <c r="D195" s="18">
        <v>0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8">
        <v>0</v>
      </c>
      <c r="K195" s="19">
        <v>10</v>
      </c>
    </row>
    <row r="196" spans="1:11" ht="14" x14ac:dyDescent="0.3">
      <c r="A196" s="27"/>
      <c r="B196" s="18">
        <v>0</v>
      </c>
      <c r="C196" s="18">
        <v>0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8">
        <v>0</v>
      </c>
      <c r="K196" s="19">
        <v>0</v>
      </c>
    </row>
    <row r="197" spans="1:11" ht="14" x14ac:dyDescent="0.3">
      <c r="A197" s="27" t="s">
        <v>30</v>
      </c>
      <c r="B197" s="18">
        <v>11</v>
      </c>
      <c r="C197" s="18">
        <v>5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8">
        <v>0</v>
      </c>
      <c r="K197" s="19">
        <v>16</v>
      </c>
    </row>
    <row r="198" spans="1:11" ht="14" x14ac:dyDescent="0.3">
      <c r="A198" s="27"/>
      <c r="B198" s="18">
        <v>0</v>
      </c>
      <c r="C198" s="18">
        <v>0</v>
      </c>
      <c r="D198" s="18">
        <v>0</v>
      </c>
      <c r="E198" s="18">
        <v>0</v>
      </c>
      <c r="F198" s="18">
        <v>0</v>
      </c>
      <c r="G198" s="18">
        <v>0</v>
      </c>
      <c r="H198" s="18">
        <v>0</v>
      </c>
      <c r="I198" s="18">
        <v>0</v>
      </c>
      <c r="J198" s="18">
        <v>0</v>
      </c>
      <c r="K198" s="19">
        <v>0</v>
      </c>
    </row>
    <row r="199" spans="1:11" ht="14" x14ac:dyDescent="0.3">
      <c r="A199" s="27" t="s">
        <v>31</v>
      </c>
      <c r="B199" s="18">
        <v>30</v>
      </c>
      <c r="C199" s="18">
        <v>8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8">
        <v>0</v>
      </c>
      <c r="K199" s="19">
        <v>38</v>
      </c>
    </row>
    <row r="200" spans="1:11" ht="14" x14ac:dyDescent="0.3">
      <c r="A200" s="27"/>
      <c r="B200" s="18">
        <v>0</v>
      </c>
      <c r="C200" s="18">
        <v>0</v>
      </c>
      <c r="D200" s="18">
        <v>0</v>
      </c>
      <c r="E200" s="18">
        <v>0</v>
      </c>
      <c r="F200" s="18">
        <v>0</v>
      </c>
      <c r="G200" s="18">
        <v>0</v>
      </c>
      <c r="H200" s="18">
        <v>0</v>
      </c>
      <c r="I200" s="18">
        <v>0</v>
      </c>
      <c r="J200" s="18">
        <v>0</v>
      </c>
      <c r="K200" s="19">
        <v>0</v>
      </c>
    </row>
    <row r="201" spans="1:11" ht="14" x14ac:dyDescent="0.3">
      <c r="A201" s="27" t="s">
        <v>32</v>
      </c>
      <c r="B201" s="18">
        <v>32</v>
      </c>
      <c r="C201" s="18">
        <v>5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8">
        <v>0</v>
      </c>
      <c r="K201" s="19">
        <v>37</v>
      </c>
    </row>
    <row r="202" spans="1:11" ht="14" x14ac:dyDescent="0.3">
      <c r="A202" s="27"/>
      <c r="B202" s="18">
        <v>0</v>
      </c>
      <c r="C202" s="18">
        <v>0</v>
      </c>
      <c r="D202" s="18">
        <v>0</v>
      </c>
      <c r="E202" s="18">
        <v>0</v>
      </c>
      <c r="F202" s="18">
        <v>0</v>
      </c>
      <c r="G202" s="18">
        <v>0</v>
      </c>
      <c r="H202" s="18">
        <v>0</v>
      </c>
      <c r="I202" s="18">
        <v>0</v>
      </c>
      <c r="J202" s="18">
        <v>0</v>
      </c>
      <c r="K202" s="19">
        <v>0</v>
      </c>
    </row>
    <row r="203" spans="1:11" ht="15.75" customHeight="1" x14ac:dyDescent="0.3">
      <c r="A203" s="27" t="s">
        <v>33</v>
      </c>
      <c r="B203" s="18">
        <v>40</v>
      </c>
      <c r="C203" s="18">
        <v>6</v>
      </c>
      <c r="D203" s="18">
        <v>0</v>
      </c>
      <c r="E203" s="18">
        <v>0</v>
      </c>
      <c r="F203" s="18">
        <v>0</v>
      </c>
      <c r="G203" s="18">
        <v>0</v>
      </c>
      <c r="H203" s="18">
        <v>0</v>
      </c>
      <c r="I203" s="18">
        <v>0</v>
      </c>
      <c r="J203" s="18">
        <v>0</v>
      </c>
      <c r="K203" s="19">
        <v>46</v>
      </c>
    </row>
    <row r="204" spans="1:11" ht="15.75" customHeight="1" x14ac:dyDescent="0.3">
      <c r="A204" s="27"/>
      <c r="B204" s="18">
        <v>0</v>
      </c>
      <c r="C204" s="18">
        <v>0</v>
      </c>
      <c r="D204" s="18">
        <v>0</v>
      </c>
      <c r="E204" s="18">
        <v>0</v>
      </c>
      <c r="F204" s="18">
        <v>0</v>
      </c>
      <c r="G204" s="18">
        <v>0</v>
      </c>
      <c r="H204" s="18">
        <v>0</v>
      </c>
      <c r="I204" s="18">
        <v>0</v>
      </c>
      <c r="J204" s="18">
        <v>0</v>
      </c>
      <c r="K204" s="19">
        <v>0</v>
      </c>
    </row>
    <row r="205" spans="1:11" ht="15.75" customHeight="1" x14ac:dyDescent="0.3">
      <c r="A205" s="27" t="s">
        <v>34</v>
      </c>
      <c r="B205" s="18">
        <v>71</v>
      </c>
      <c r="C205" s="18">
        <v>29</v>
      </c>
      <c r="D205" s="18">
        <v>5</v>
      </c>
      <c r="E205" s="18">
        <v>0</v>
      </c>
      <c r="F205" s="18">
        <v>0</v>
      </c>
      <c r="G205" s="18">
        <v>0</v>
      </c>
      <c r="H205" s="18">
        <v>0</v>
      </c>
      <c r="I205" s="18">
        <v>0</v>
      </c>
      <c r="J205" s="18">
        <v>0</v>
      </c>
      <c r="K205" s="19">
        <v>105</v>
      </c>
    </row>
    <row r="206" spans="1:11" ht="15.75" customHeight="1" x14ac:dyDescent="0.3">
      <c r="A206" s="27"/>
      <c r="B206" s="18">
        <v>0</v>
      </c>
      <c r="C206" s="18">
        <v>0</v>
      </c>
      <c r="D206" s="18">
        <v>0</v>
      </c>
      <c r="E206" s="18">
        <v>0</v>
      </c>
      <c r="F206" s="18">
        <v>0</v>
      </c>
      <c r="G206" s="18">
        <v>0</v>
      </c>
      <c r="H206" s="18">
        <v>0</v>
      </c>
      <c r="I206" s="18">
        <v>0</v>
      </c>
      <c r="J206" s="18">
        <v>0</v>
      </c>
      <c r="K206" s="19">
        <v>0</v>
      </c>
    </row>
    <row r="207" spans="1:11" ht="15.75" customHeight="1" x14ac:dyDescent="0.3">
      <c r="A207" s="27" t="s">
        <v>35</v>
      </c>
      <c r="B207" s="18">
        <v>61</v>
      </c>
      <c r="C207" s="18">
        <v>44</v>
      </c>
      <c r="D207" s="18">
        <v>3</v>
      </c>
      <c r="E207" s="18">
        <v>1</v>
      </c>
      <c r="F207" s="18">
        <v>0</v>
      </c>
      <c r="G207" s="18">
        <v>0</v>
      </c>
      <c r="H207" s="18">
        <v>0</v>
      </c>
      <c r="I207" s="18">
        <v>0</v>
      </c>
      <c r="J207" s="18">
        <v>0</v>
      </c>
      <c r="K207" s="19">
        <v>109</v>
      </c>
    </row>
    <row r="208" spans="1:11" ht="15.75" customHeight="1" x14ac:dyDescent="0.3">
      <c r="A208" s="29"/>
      <c r="B208" s="19">
        <v>0</v>
      </c>
      <c r="C208" s="19">
        <v>0</v>
      </c>
      <c r="D208" s="19">
        <v>0</v>
      </c>
      <c r="E208" s="19">
        <v>0</v>
      </c>
      <c r="F208" s="19">
        <v>0</v>
      </c>
      <c r="G208" s="19">
        <v>0</v>
      </c>
      <c r="H208" s="19">
        <v>0</v>
      </c>
      <c r="I208" s="19">
        <v>0</v>
      </c>
      <c r="J208" s="19">
        <v>0</v>
      </c>
      <c r="K208" s="19">
        <v>0</v>
      </c>
    </row>
    <row r="209" spans="1:11" ht="15.75" customHeight="1" x14ac:dyDescent="0.25">
      <c r="A209" s="63" t="s">
        <v>21</v>
      </c>
      <c r="B209" s="63">
        <v>401</v>
      </c>
      <c r="C209" s="63">
        <v>165</v>
      </c>
      <c r="D209" s="63">
        <v>13</v>
      </c>
      <c r="E209" s="63">
        <v>1</v>
      </c>
      <c r="F209" s="63">
        <v>1</v>
      </c>
      <c r="G209" s="63">
        <v>0</v>
      </c>
      <c r="H209" s="63">
        <v>0</v>
      </c>
      <c r="I209" s="63">
        <v>0</v>
      </c>
      <c r="J209" s="63">
        <v>0</v>
      </c>
      <c r="K209" s="63">
        <v>744</v>
      </c>
    </row>
    <row r="210" spans="1:11" ht="15.75" customHeight="1" x14ac:dyDescent="0.2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</row>
    <row r="211" spans="1:11" ht="15.75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</row>
    <row r="212" spans="1:11" ht="15.75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65" t="s">
        <v>0</v>
      </c>
      <c r="B216" s="66"/>
      <c r="C216" s="66"/>
      <c r="D216" s="66"/>
      <c r="E216" s="66"/>
      <c r="F216" s="2"/>
      <c r="G216" s="2"/>
      <c r="H216" s="2"/>
      <c r="I216" s="2"/>
      <c r="J216" s="2"/>
      <c r="K216" s="2"/>
    </row>
    <row r="217" spans="1:11" ht="15.75" customHeight="1" x14ac:dyDescent="0.3">
      <c r="A217" s="65" t="s">
        <v>1</v>
      </c>
      <c r="B217" s="66"/>
      <c r="C217" s="66"/>
      <c r="D217" s="2"/>
      <c r="E217" s="2"/>
      <c r="F217" s="2"/>
      <c r="G217" s="65" t="s">
        <v>129</v>
      </c>
      <c r="H217" s="66"/>
      <c r="I217" s="66"/>
      <c r="J217" s="1"/>
      <c r="K217" s="2"/>
    </row>
    <row r="218" spans="1:11" ht="15.75" customHeight="1" x14ac:dyDescent="0.3">
      <c r="A218" s="65" t="s">
        <v>39</v>
      </c>
      <c r="B218" s="66"/>
      <c r="C218" s="66"/>
      <c r="D218" s="66"/>
      <c r="E218" s="66"/>
      <c r="F218" s="2"/>
      <c r="G218" s="65" t="s">
        <v>4</v>
      </c>
      <c r="H218" s="66"/>
      <c r="I218" s="66"/>
      <c r="J218" s="66"/>
      <c r="K218" s="2"/>
    </row>
    <row r="219" spans="1:11" ht="15.75" customHeight="1" x14ac:dyDescent="0.3">
      <c r="A219" s="65" t="s">
        <v>5</v>
      </c>
      <c r="B219" s="66"/>
      <c r="C219" s="66"/>
      <c r="D219" s="66"/>
      <c r="E219" s="66"/>
      <c r="F219" s="2"/>
      <c r="G219" s="65" t="s">
        <v>6</v>
      </c>
      <c r="H219" s="66"/>
      <c r="I219" s="66"/>
      <c r="J219" s="6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60" t="s">
        <v>7</v>
      </c>
      <c r="B221" s="61"/>
      <c r="C221" s="61"/>
      <c r="D221" s="61"/>
      <c r="E221" s="61"/>
      <c r="F221" s="61"/>
      <c r="G221" s="61"/>
      <c r="H221" s="61"/>
      <c r="I221" s="61"/>
      <c r="J221" s="61"/>
      <c r="K221" s="62"/>
    </row>
    <row r="222" spans="1:11" ht="15.75" customHeight="1" x14ac:dyDescent="0.3">
      <c r="A222" s="67" t="s">
        <v>8</v>
      </c>
      <c r="B222" s="68"/>
      <c r="C222" s="68"/>
      <c r="D222" s="68"/>
      <c r="E222" s="68"/>
      <c r="F222" s="68"/>
      <c r="G222" s="68"/>
      <c r="H222" s="68"/>
      <c r="I222" s="68"/>
      <c r="J222" s="68"/>
      <c r="K222" s="69"/>
    </row>
    <row r="223" spans="1:11" ht="15.75" customHeight="1" x14ac:dyDescent="0.3">
      <c r="A223" s="4" t="s">
        <v>9</v>
      </c>
      <c r="B223" s="5"/>
      <c r="C223" s="5"/>
      <c r="D223" s="5"/>
      <c r="E223" s="70" t="s">
        <v>10</v>
      </c>
      <c r="F223" s="71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3">
      <c r="A225" s="25" t="s">
        <v>22</v>
      </c>
      <c r="B225" s="28"/>
      <c r="C225" s="28"/>
      <c r="D225" s="28"/>
      <c r="E225" s="28"/>
      <c r="F225" s="28"/>
      <c r="G225" s="28"/>
      <c r="H225" s="28"/>
      <c r="I225" s="28"/>
      <c r="J225" s="28"/>
      <c r="K225" s="59">
        <f>(K10+K53+K96+K139+K182)/5</f>
        <v>-282.39999999999998</v>
      </c>
    </row>
    <row r="226" spans="1:11" ht="15.75" customHeight="1" x14ac:dyDescent="0.3">
      <c r="A226" s="27" t="s">
        <v>23</v>
      </c>
      <c r="B226" s="18"/>
      <c r="C226" s="18"/>
      <c r="D226" s="18"/>
      <c r="E226" s="18"/>
      <c r="F226" s="18"/>
      <c r="G226" s="18"/>
      <c r="H226" s="18"/>
      <c r="I226" s="18"/>
      <c r="J226" s="18"/>
      <c r="K226" s="59">
        <f t="shared" ref="K226:K250" si="0">(K11+K54+K97+K140+K183)/5</f>
        <v>0</v>
      </c>
    </row>
    <row r="227" spans="1:11" ht="15.75" customHeight="1" x14ac:dyDescent="0.3">
      <c r="A227" s="27"/>
      <c r="B227" s="18"/>
      <c r="C227" s="18"/>
      <c r="D227" s="18"/>
      <c r="E227" s="18"/>
      <c r="F227" s="18"/>
      <c r="G227" s="18"/>
      <c r="H227" s="18"/>
      <c r="I227" s="18"/>
      <c r="J227" s="18"/>
      <c r="K227" s="59">
        <f t="shared" si="0"/>
        <v>0</v>
      </c>
    </row>
    <row r="228" spans="1:11" ht="15.75" customHeight="1" x14ac:dyDescent="0.3">
      <c r="A228" s="27" t="s">
        <v>24</v>
      </c>
      <c r="B228" s="18">
        <f>(B13+B56+B99+B142+B185)/5</f>
        <v>19.600000000000001</v>
      </c>
      <c r="C228" s="18">
        <f t="shared" ref="C228:J228" si="1">(C13+C56+C99+C142+C185)/5</f>
        <v>23</v>
      </c>
      <c r="D228" s="18">
        <f t="shared" si="1"/>
        <v>2.2000000000000002</v>
      </c>
      <c r="E228" s="18">
        <f t="shared" si="1"/>
        <v>0</v>
      </c>
      <c r="F228" s="18">
        <f t="shared" si="1"/>
        <v>0</v>
      </c>
      <c r="G228" s="18">
        <f t="shared" si="1"/>
        <v>0</v>
      </c>
      <c r="H228" s="18">
        <f t="shared" si="1"/>
        <v>0</v>
      </c>
      <c r="I228" s="18">
        <f t="shared" si="1"/>
        <v>0</v>
      </c>
      <c r="J228" s="18">
        <f t="shared" si="1"/>
        <v>0</v>
      </c>
      <c r="K228" s="59">
        <f t="shared" si="0"/>
        <v>44.8</v>
      </c>
    </row>
    <row r="229" spans="1:11" ht="15.75" customHeight="1" x14ac:dyDescent="0.3">
      <c r="A229" s="27"/>
      <c r="B229" s="18">
        <f t="shared" ref="B229:J250" si="2">(B14+B57+B100+B143+B186)/5</f>
        <v>0</v>
      </c>
      <c r="C229" s="18">
        <f t="shared" si="2"/>
        <v>0</v>
      </c>
      <c r="D229" s="18">
        <f t="shared" si="2"/>
        <v>0</v>
      </c>
      <c r="E229" s="18">
        <f t="shared" si="2"/>
        <v>0</v>
      </c>
      <c r="F229" s="18">
        <f t="shared" si="2"/>
        <v>0</v>
      </c>
      <c r="G229" s="18">
        <f t="shared" si="2"/>
        <v>0</v>
      </c>
      <c r="H229" s="18">
        <f t="shared" si="2"/>
        <v>0</v>
      </c>
      <c r="I229" s="18">
        <f t="shared" si="2"/>
        <v>0</v>
      </c>
      <c r="J229" s="18">
        <f t="shared" si="2"/>
        <v>0</v>
      </c>
      <c r="K229" s="59">
        <f t="shared" si="0"/>
        <v>0</v>
      </c>
    </row>
    <row r="230" spans="1:11" ht="15.75" customHeight="1" x14ac:dyDescent="0.3">
      <c r="A230" s="27" t="s">
        <v>25</v>
      </c>
      <c r="B230" s="18">
        <f t="shared" si="2"/>
        <v>30</v>
      </c>
      <c r="C230" s="18">
        <f t="shared" si="2"/>
        <v>26</v>
      </c>
      <c r="D230" s="18">
        <f t="shared" si="2"/>
        <v>2</v>
      </c>
      <c r="E230" s="18">
        <f t="shared" si="2"/>
        <v>0.2</v>
      </c>
      <c r="F230" s="18">
        <f t="shared" si="2"/>
        <v>0.2</v>
      </c>
      <c r="G230" s="18">
        <f t="shared" si="2"/>
        <v>0</v>
      </c>
      <c r="H230" s="18">
        <f t="shared" si="2"/>
        <v>0</v>
      </c>
      <c r="I230" s="18">
        <f t="shared" si="2"/>
        <v>0</v>
      </c>
      <c r="J230" s="18">
        <f t="shared" si="2"/>
        <v>0</v>
      </c>
      <c r="K230" s="59">
        <f t="shared" si="0"/>
        <v>58.4</v>
      </c>
    </row>
    <row r="231" spans="1:11" ht="15.75" customHeight="1" x14ac:dyDescent="0.3">
      <c r="A231" s="27"/>
      <c r="B231" s="18">
        <f t="shared" si="2"/>
        <v>0</v>
      </c>
      <c r="C231" s="18">
        <f t="shared" si="2"/>
        <v>0</v>
      </c>
      <c r="D231" s="18">
        <f t="shared" si="2"/>
        <v>0</v>
      </c>
      <c r="E231" s="18">
        <f t="shared" si="2"/>
        <v>0</v>
      </c>
      <c r="F231" s="18">
        <f t="shared" si="2"/>
        <v>0</v>
      </c>
      <c r="G231" s="18">
        <f t="shared" si="2"/>
        <v>0</v>
      </c>
      <c r="H231" s="18">
        <f t="shared" si="2"/>
        <v>0</v>
      </c>
      <c r="I231" s="18">
        <f t="shared" si="2"/>
        <v>0</v>
      </c>
      <c r="J231" s="18">
        <f t="shared" si="2"/>
        <v>0</v>
      </c>
      <c r="K231" s="59">
        <f t="shared" si="0"/>
        <v>0</v>
      </c>
    </row>
    <row r="232" spans="1:11" ht="15.75" customHeight="1" x14ac:dyDescent="0.3">
      <c r="A232" s="27" t="s">
        <v>26</v>
      </c>
      <c r="B232" s="18">
        <f t="shared" si="2"/>
        <v>34.4</v>
      </c>
      <c r="C232" s="18">
        <f t="shared" si="2"/>
        <v>20.2</v>
      </c>
      <c r="D232" s="18">
        <f t="shared" si="2"/>
        <v>1</v>
      </c>
      <c r="E232" s="18">
        <f t="shared" si="2"/>
        <v>0</v>
      </c>
      <c r="F232" s="18">
        <f t="shared" si="2"/>
        <v>0</v>
      </c>
      <c r="G232" s="18">
        <f t="shared" si="2"/>
        <v>0</v>
      </c>
      <c r="H232" s="18">
        <f t="shared" si="2"/>
        <v>0</v>
      </c>
      <c r="I232" s="18">
        <f t="shared" si="2"/>
        <v>0</v>
      </c>
      <c r="J232" s="18">
        <f t="shared" si="2"/>
        <v>0</v>
      </c>
      <c r="K232" s="59">
        <f t="shared" si="0"/>
        <v>55.6</v>
      </c>
    </row>
    <row r="233" spans="1:11" ht="15.75" customHeight="1" x14ac:dyDescent="0.3">
      <c r="A233" s="27"/>
      <c r="B233" s="18">
        <f t="shared" si="2"/>
        <v>0</v>
      </c>
      <c r="C233" s="18">
        <f t="shared" si="2"/>
        <v>0</v>
      </c>
      <c r="D233" s="18">
        <f t="shared" si="2"/>
        <v>0</v>
      </c>
      <c r="E233" s="18">
        <f t="shared" si="2"/>
        <v>0</v>
      </c>
      <c r="F233" s="18">
        <f t="shared" si="2"/>
        <v>0</v>
      </c>
      <c r="G233" s="18">
        <f t="shared" si="2"/>
        <v>0</v>
      </c>
      <c r="H233" s="18">
        <f t="shared" si="2"/>
        <v>0</v>
      </c>
      <c r="I233" s="18">
        <f t="shared" si="2"/>
        <v>0</v>
      </c>
      <c r="J233" s="18">
        <f t="shared" si="2"/>
        <v>0</v>
      </c>
      <c r="K233" s="59">
        <f t="shared" si="0"/>
        <v>0</v>
      </c>
    </row>
    <row r="234" spans="1:11" ht="15.75" customHeight="1" x14ac:dyDescent="0.3">
      <c r="A234" s="27" t="s">
        <v>27</v>
      </c>
      <c r="B234" s="18">
        <f t="shared" si="2"/>
        <v>8.6</v>
      </c>
      <c r="C234" s="18">
        <f t="shared" si="2"/>
        <v>3.4</v>
      </c>
      <c r="D234" s="18">
        <f t="shared" si="2"/>
        <v>0</v>
      </c>
      <c r="E234" s="18">
        <f t="shared" si="2"/>
        <v>0</v>
      </c>
      <c r="F234" s="18">
        <f t="shared" si="2"/>
        <v>0</v>
      </c>
      <c r="G234" s="18">
        <f t="shared" si="2"/>
        <v>0</v>
      </c>
      <c r="H234" s="18">
        <f t="shared" si="2"/>
        <v>0</v>
      </c>
      <c r="I234" s="18">
        <f t="shared" si="2"/>
        <v>0</v>
      </c>
      <c r="J234" s="18">
        <f t="shared" si="2"/>
        <v>0</v>
      </c>
      <c r="K234" s="59">
        <f t="shared" si="0"/>
        <v>12</v>
      </c>
    </row>
    <row r="235" spans="1:11" ht="15.75" customHeight="1" x14ac:dyDescent="0.3">
      <c r="A235" s="27"/>
      <c r="B235" s="18">
        <f t="shared" si="2"/>
        <v>0</v>
      </c>
      <c r="C235" s="18">
        <f t="shared" si="2"/>
        <v>0</v>
      </c>
      <c r="D235" s="18">
        <f t="shared" si="2"/>
        <v>0</v>
      </c>
      <c r="E235" s="18">
        <f t="shared" si="2"/>
        <v>0</v>
      </c>
      <c r="F235" s="18">
        <f t="shared" si="2"/>
        <v>0</v>
      </c>
      <c r="G235" s="18">
        <f t="shared" si="2"/>
        <v>0</v>
      </c>
      <c r="H235" s="18">
        <f t="shared" si="2"/>
        <v>0</v>
      </c>
      <c r="I235" s="18">
        <f t="shared" si="2"/>
        <v>0</v>
      </c>
      <c r="J235" s="18">
        <f t="shared" si="2"/>
        <v>0</v>
      </c>
      <c r="K235" s="59">
        <f t="shared" si="0"/>
        <v>0</v>
      </c>
    </row>
    <row r="236" spans="1:11" ht="15.75" customHeight="1" x14ac:dyDescent="0.3">
      <c r="A236" s="27" t="s">
        <v>28</v>
      </c>
      <c r="B236" s="18">
        <f t="shared" si="2"/>
        <v>6</v>
      </c>
      <c r="C236" s="18">
        <f t="shared" si="2"/>
        <v>1.6</v>
      </c>
      <c r="D236" s="18">
        <f t="shared" si="2"/>
        <v>0</v>
      </c>
      <c r="E236" s="18">
        <f t="shared" si="2"/>
        <v>0</v>
      </c>
      <c r="F236" s="18">
        <f t="shared" si="2"/>
        <v>0</v>
      </c>
      <c r="G236" s="18">
        <f t="shared" si="2"/>
        <v>0</v>
      </c>
      <c r="H236" s="18">
        <f t="shared" si="2"/>
        <v>0</v>
      </c>
      <c r="I236" s="18">
        <f t="shared" si="2"/>
        <v>0</v>
      </c>
      <c r="J236" s="18">
        <f t="shared" si="2"/>
        <v>0</v>
      </c>
      <c r="K236" s="59">
        <f t="shared" si="0"/>
        <v>7.6</v>
      </c>
    </row>
    <row r="237" spans="1:11" ht="15.75" customHeight="1" x14ac:dyDescent="0.3">
      <c r="A237" s="27"/>
      <c r="B237" s="18">
        <f t="shared" si="2"/>
        <v>0</v>
      </c>
      <c r="C237" s="18">
        <f t="shared" si="2"/>
        <v>0</v>
      </c>
      <c r="D237" s="18">
        <f t="shared" si="2"/>
        <v>0</v>
      </c>
      <c r="E237" s="18">
        <f t="shared" si="2"/>
        <v>0</v>
      </c>
      <c r="F237" s="18">
        <f t="shared" si="2"/>
        <v>0</v>
      </c>
      <c r="G237" s="18">
        <f t="shared" si="2"/>
        <v>0</v>
      </c>
      <c r="H237" s="18">
        <f t="shared" si="2"/>
        <v>0</v>
      </c>
      <c r="I237" s="18">
        <f t="shared" si="2"/>
        <v>0</v>
      </c>
      <c r="J237" s="18">
        <f t="shared" si="2"/>
        <v>0</v>
      </c>
      <c r="K237" s="59">
        <f t="shared" si="0"/>
        <v>0</v>
      </c>
    </row>
    <row r="238" spans="1:11" ht="15.75" customHeight="1" x14ac:dyDescent="0.3">
      <c r="A238" s="27" t="s">
        <v>29</v>
      </c>
      <c r="B238" s="18">
        <f t="shared" si="2"/>
        <v>7.4</v>
      </c>
      <c r="C238" s="18">
        <f t="shared" si="2"/>
        <v>1.8</v>
      </c>
      <c r="D238" s="18">
        <f t="shared" si="2"/>
        <v>0</v>
      </c>
      <c r="E238" s="18">
        <f t="shared" si="2"/>
        <v>0</v>
      </c>
      <c r="F238" s="18">
        <f t="shared" si="2"/>
        <v>0</v>
      </c>
      <c r="G238" s="18">
        <f t="shared" si="2"/>
        <v>0</v>
      </c>
      <c r="H238" s="18">
        <f t="shared" si="2"/>
        <v>0</v>
      </c>
      <c r="I238" s="18">
        <f t="shared" si="2"/>
        <v>0</v>
      </c>
      <c r="J238" s="18">
        <f t="shared" si="2"/>
        <v>0</v>
      </c>
      <c r="K238" s="59">
        <f t="shared" si="0"/>
        <v>9.1999999999999993</v>
      </c>
    </row>
    <row r="239" spans="1:11" ht="15.75" customHeight="1" x14ac:dyDescent="0.3">
      <c r="A239" s="27"/>
      <c r="B239" s="18">
        <f t="shared" si="2"/>
        <v>0</v>
      </c>
      <c r="C239" s="18">
        <f t="shared" si="2"/>
        <v>0</v>
      </c>
      <c r="D239" s="18">
        <f t="shared" si="2"/>
        <v>0</v>
      </c>
      <c r="E239" s="18">
        <f t="shared" si="2"/>
        <v>0</v>
      </c>
      <c r="F239" s="18">
        <f t="shared" si="2"/>
        <v>0</v>
      </c>
      <c r="G239" s="18">
        <f t="shared" si="2"/>
        <v>0</v>
      </c>
      <c r="H239" s="18">
        <f t="shared" si="2"/>
        <v>0</v>
      </c>
      <c r="I239" s="18">
        <f t="shared" si="2"/>
        <v>0</v>
      </c>
      <c r="J239" s="18">
        <f t="shared" si="2"/>
        <v>0</v>
      </c>
      <c r="K239" s="59">
        <f t="shared" si="0"/>
        <v>0</v>
      </c>
    </row>
    <row r="240" spans="1:11" ht="15.75" customHeight="1" x14ac:dyDescent="0.3">
      <c r="A240" s="27" t="s">
        <v>30</v>
      </c>
      <c r="B240" s="18">
        <f t="shared" si="2"/>
        <v>6.6</v>
      </c>
      <c r="C240" s="18">
        <f t="shared" si="2"/>
        <v>3.4</v>
      </c>
      <c r="D240" s="18">
        <f t="shared" si="2"/>
        <v>0</v>
      </c>
      <c r="E240" s="18">
        <f t="shared" si="2"/>
        <v>0</v>
      </c>
      <c r="F240" s="18">
        <f t="shared" si="2"/>
        <v>0</v>
      </c>
      <c r="G240" s="18">
        <f t="shared" si="2"/>
        <v>0</v>
      </c>
      <c r="H240" s="18">
        <f t="shared" si="2"/>
        <v>0</v>
      </c>
      <c r="I240" s="18">
        <f t="shared" si="2"/>
        <v>0</v>
      </c>
      <c r="J240" s="18">
        <f t="shared" si="2"/>
        <v>0</v>
      </c>
      <c r="K240" s="59">
        <f t="shared" si="0"/>
        <v>10</v>
      </c>
    </row>
    <row r="241" spans="1:11" ht="15.75" customHeight="1" x14ac:dyDescent="0.3">
      <c r="A241" s="27"/>
      <c r="B241" s="18">
        <f t="shared" si="2"/>
        <v>0</v>
      </c>
      <c r="C241" s="18">
        <f t="shared" si="2"/>
        <v>0</v>
      </c>
      <c r="D241" s="18">
        <f t="shared" si="2"/>
        <v>0</v>
      </c>
      <c r="E241" s="18">
        <f t="shared" si="2"/>
        <v>0</v>
      </c>
      <c r="F241" s="18">
        <f t="shared" si="2"/>
        <v>0</v>
      </c>
      <c r="G241" s="18">
        <f t="shared" si="2"/>
        <v>0</v>
      </c>
      <c r="H241" s="18">
        <f t="shared" si="2"/>
        <v>0</v>
      </c>
      <c r="I241" s="18">
        <f t="shared" si="2"/>
        <v>0</v>
      </c>
      <c r="J241" s="18">
        <f t="shared" si="2"/>
        <v>0</v>
      </c>
      <c r="K241" s="59">
        <f t="shared" si="0"/>
        <v>0</v>
      </c>
    </row>
    <row r="242" spans="1:11" ht="15.75" customHeight="1" x14ac:dyDescent="0.3">
      <c r="A242" s="27" t="s">
        <v>31</v>
      </c>
      <c r="B242" s="18">
        <f t="shared" si="2"/>
        <v>22.2</v>
      </c>
      <c r="C242" s="18">
        <f t="shared" si="2"/>
        <v>5.6</v>
      </c>
      <c r="D242" s="18">
        <f t="shared" si="2"/>
        <v>1.2</v>
      </c>
      <c r="E242" s="18">
        <f t="shared" si="2"/>
        <v>0</v>
      </c>
      <c r="F242" s="18">
        <f t="shared" si="2"/>
        <v>0</v>
      </c>
      <c r="G242" s="18">
        <f t="shared" si="2"/>
        <v>0</v>
      </c>
      <c r="H242" s="18">
        <f t="shared" si="2"/>
        <v>0</v>
      </c>
      <c r="I242" s="18">
        <f t="shared" si="2"/>
        <v>0</v>
      </c>
      <c r="J242" s="18">
        <f t="shared" si="2"/>
        <v>0</v>
      </c>
      <c r="K242" s="59">
        <f t="shared" si="0"/>
        <v>29</v>
      </c>
    </row>
    <row r="243" spans="1:11" ht="15.75" customHeight="1" x14ac:dyDescent="0.3">
      <c r="A243" s="27"/>
      <c r="B243" s="18">
        <f t="shared" si="2"/>
        <v>0</v>
      </c>
      <c r="C243" s="18">
        <f t="shared" si="2"/>
        <v>0</v>
      </c>
      <c r="D243" s="18">
        <f t="shared" si="2"/>
        <v>0</v>
      </c>
      <c r="E243" s="18">
        <f t="shared" si="2"/>
        <v>0</v>
      </c>
      <c r="F243" s="18">
        <f t="shared" si="2"/>
        <v>0</v>
      </c>
      <c r="G243" s="18">
        <f t="shared" si="2"/>
        <v>0</v>
      </c>
      <c r="H243" s="18">
        <f t="shared" si="2"/>
        <v>0</v>
      </c>
      <c r="I243" s="18">
        <f t="shared" si="2"/>
        <v>0</v>
      </c>
      <c r="J243" s="18">
        <f t="shared" si="2"/>
        <v>0</v>
      </c>
      <c r="K243" s="59">
        <f t="shared" si="0"/>
        <v>0</v>
      </c>
    </row>
    <row r="244" spans="1:11" ht="15.75" customHeight="1" x14ac:dyDescent="0.3">
      <c r="A244" s="27" t="s">
        <v>32</v>
      </c>
      <c r="B244" s="18">
        <f t="shared" si="2"/>
        <v>15.6</v>
      </c>
      <c r="C244" s="18">
        <f t="shared" si="2"/>
        <v>5.8</v>
      </c>
      <c r="D244" s="18">
        <f t="shared" si="2"/>
        <v>0</v>
      </c>
      <c r="E244" s="18">
        <f t="shared" si="2"/>
        <v>0</v>
      </c>
      <c r="F244" s="18">
        <f t="shared" si="2"/>
        <v>0</v>
      </c>
      <c r="G244" s="18">
        <f t="shared" si="2"/>
        <v>0</v>
      </c>
      <c r="H244" s="18">
        <f t="shared" si="2"/>
        <v>0</v>
      </c>
      <c r="I244" s="18">
        <f t="shared" si="2"/>
        <v>0</v>
      </c>
      <c r="J244" s="18">
        <f t="shared" si="2"/>
        <v>0</v>
      </c>
      <c r="K244" s="59">
        <f t="shared" si="0"/>
        <v>21.4</v>
      </c>
    </row>
    <row r="245" spans="1:11" ht="15.75" customHeight="1" x14ac:dyDescent="0.3">
      <c r="A245" s="27"/>
      <c r="B245" s="18">
        <f t="shared" si="2"/>
        <v>0</v>
      </c>
      <c r="C245" s="18">
        <f t="shared" si="2"/>
        <v>0</v>
      </c>
      <c r="D245" s="18">
        <f t="shared" si="2"/>
        <v>0</v>
      </c>
      <c r="E245" s="18">
        <f t="shared" si="2"/>
        <v>0</v>
      </c>
      <c r="F245" s="18">
        <f t="shared" si="2"/>
        <v>0</v>
      </c>
      <c r="G245" s="18">
        <f t="shared" si="2"/>
        <v>0</v>
      </c>
      <c r="H245" s="18">
        <f t="shared" si="2"/>
        <v>0</v>
      </c>
      <c r="I245" s="18">
        <f t="shared" si="2"/>
        <v>0</v>
      </c>
      <c r="J245" s="18">
        <f t="shared" si="2"/>
        <v>0</v>
      </c>
      <c r="K245" s="59">
        <f t="shared" si="0"/>
        <v>0</v>
      </c>
    </row>
    <row r="246" spans="1:11" ht="15.75" customHeight="1" x14ac:dyDescent="0.3">
      <c r="A246" s="27" t="s">
        <v>33</v>
      </c>
      <c r="B246" s="18">
        <f t="shared" si="2"/>
        <v>16.8</v>
      </c>
      <c r="C246" s="18">
        <f t="shared" si="2"/>
        <v>5.8</v>
      </c>
      <c r="D246" s="18">
        <f t="shared" si="2"/>
        <v>0.8</v>
      </c>
      <c r="E246" s="18">
        <f t="shared" si="2"/>
        <v>0</v>
      </c>
      <c r="F246" s="18">
        <f t="shared" si="2"/>
        <v>0</v>
      </c>
      <c r="G246" s="18">
        <f t="shared" si="2"/>
        <v>0</v>
      </c>
      <c r="H246" s="18">
        <f t="shared" si="2"/>
        <v>0</v>
      </c>
      <c r="I246" s="18">
        <f t="shared" si="2"/>
        <v>0</v>
      </c>
      <c r="J246" s="18">
        <f t="shared" si="2"/>
        <v>0</v>
      </c>
      <c r="K246" s="59">
        <f t="shared" si="0"/>
        <v>23.4</v>
      </c>
    </row>
    <row r="247" spans="1:11" ht="15.75" customHeight="1" x14ac:dyDescent="0.3">
      <c r="A247" s="27"/>
      <c r="B247" s="18">
        <f t="shared" si="2"/>
        <v>0</v>
      </c>
      <c r="C247" s="18">
        <f t="shared" si="2"/>
        <v>0</v>
      </c>
      <c r="D247" s="18">
        <f t="shared" si="2"/>
        <v>0</v>
      </c>
      <c r="E247" s="18">
        <f t="shared" si="2"/>
        <v>0</v>
      </c>
      <c r="F247" s="18">
        <f t="shared" si="2"/>
        <v>0</v>
      </c>
      <c r="G247" s="18">
        <f t="shared" si="2"/>
        <v>0</v>
      </c>
      <c r="H247" s="18">
        <f t="shared" si="2"/>
        <v>0</v>
      </c>
      <c r="I247" s="18">
        <f t="shared" si="2"/>
        <v>0</v>
      </c>
      <c r="J247" s="18">
        <f t="shared" si="2"/>
        <v>0</v>
      </c>
      <c r="K247" s="59">
        <f t="shared" si="0"/>
        <v>0</v>
      </c>
    </row>
    <row r="248" spans="1:11" ht="15.75" customHeight="1" x14ac:dyDescent="0.3">
      <c r="A248" s="27" t="s">
        <v>34</v>
      </c>
      <c r="B248" s="18">
        <f t="shared" si="2"/>
        <v>33.6</v>
      </c>
      <c r="C248" s="18">
        <f t="shared" si="2"/>
        <v>97.2</v>
      </c>
      <c r="D248" s="18">
        <f t="shared" si="2"/>
        <v>1.6</v>
      </c>
      <c r="E248" s="18">
        <f t="shared" si="2"/>
        <v>0</v>
      </c>
      <c r="F248" s="18">
        <f t="shared" si="2"/>
        <v>0</v>
      </c>
      <c r="G248" s="18">
        <f t="shared" si="2"/>
        <v>0</v>
      </c>
      <c r="H248" s="18">
        <f t="shared" si="2"/>
        <v>0</v>
      </c>
      <c r="I248" s="18">
        <f t="shared" si="2"/>
        <v>0</v>
      </c>
      <c r="J248" s="18">
        <f t="shared" si="2"/>
        <v>0</v>
      </c>
      <c r="K248" s="59">
        <f t="shared" si="0"/>
        <v>132.4</v>
      </c>
    </row>
    <row r="249" spans="1:11" ht="15.75" customHeight="1" x14ac:dyDescent="0.3">
      <c r="A249" s="27"/>
      <c r="B249" s="18">
        <f t="shared" si="2"/>
        <v>0</v>
      </c>
      <c r="C249" s="18">
        <f t="shared" si="2"/>
        <v>0</v>
      </c>
      <c r="D249" s="18">
        <f t="shared" si="2"/>
        <v>0</v>
      </c>
      <c r="E249" s="18">
        <f t="shared" si="2"/>
        <v>0</v>
      </c>
      <c r="F249" s="18">
        <f t="shared" si="2"/>
        <v>0</v>
      </c>
      <c r="G249" s="18">
        <f t="shared" si="2"/>
        <v>0</v>
      </c>
      <c r="H249" s="18">
        <f t="shared" si="2"/>
        <v>0</v>
      </c>
      <c r="I249" s="18">
        <f t="shared" si="2"/>
        <v>0</v>
      </c>
      <c r="J249" s="18">
        <f t="shared" si="2"/>
        <v>0</v>
      </c>
      <c r="K249" s="59">
        <f t="shared" si="0"/>
        <v>0</v>
      </c>
    </row>
    <row r="250" spans="1:11" ht="15.75" customHeight="1" x14ac:dyDescent="0.3">
      <c r="A250" s="27" t="s">
        <v>35</v>
      </c>
      <c r="B250" s="18">
        <f t="shared" si="2"/>
        <v>67.400000000000006</v>
      </c>
      <c r="C250" s="18">
        <f t="shared" si="2"/>
        <v>34</v>
      </c>
      <c r="D250" s="18">
        <f t="shared" si="2"/>
        <v>5.6</v>
      </c>
      <c r="E250" s="18">
        <f t="shared" si="2"/>
        <v>0.2</v>
      </c>
      <c r="F250" s="18">
        <f t="shared" si="2"/>
        <v>0.2</v>
      </c>
      <c r="G250" s="18">
        <f t="shared" si="2"/>
        <v>0</v>
      </c>
      <c r="H250" s="18">
        <f t="shared" si="2"/>
        <v>0</v>
      </c>
      <c r="I250" s="18">
        <f t="shared" si="2"/>
        <v>0</v>
      </c>
      <c r="J250" s="18">
        <f t="shared" si="2"/>
        <v>0</v>
      </c>
      <c r="K250" s="59">
        <f t="shared" si="0"/>
        <v>107.4</v>
      </c>
    </row>
    <row r="251" spans="1:11" ht="15.75" customHeight="1" x14ac:dyDescent="0.3">
      <c r="A251" s="29"/>
      <c r="B251" s="19"/>
      <c r="C251" s="19"/>
      <c r="D251" s="19"/>
      <c r="E251" s="19"/>
      <c r="F251" s="19"/>
      <c r="G251" s="19"/>
      <c r="H251" s="19"/>
      <c r="I251" s="19"/>
      <c r="J251" s="19"/>
      <c r="K251" s="19"/>
    </row>
    <row r="252" spans="1:11" ht="15.75" customHeight="1" x14ac:dyDescent="0.25">
      <c r="A252" s="63" t="s">
        <v>21</v>
      </c>
      <c r="B252" s="63">
        <f>SUM(B228:B250)</f>
        <v>268.2</v>
      </c>
      <c r="C252" s="63">
        <f t="shared" ref="C252:J252" si="3">SUM(C228:C250)</f>
        <v>227.8</v>
      </c>
      <c r="D252" s="63">
        <f t="shared" si="3"/>
        <v>14.4</v>
      </c>
      <c r="E252" s="63">
        <f t="shared" si="3"/>
        <v>0.4</v>
      </c>
      <c r="F252" s="63">
        <f t="shared" si="3"/>
        <v>0.4</v>
      </c>
      <c r="G252" s="63">
        <f t="shared" si="3"/>
        <v>0</v>
      </c>
      <c r="H252" s="63">
        <f t="shared" si="3"/>
        <v>0</v>
      </c>
      <c r="I252" s="63">
        <f t="shared" si="3"/>
        <v>0</v>
      </c>
      <c r="J252" s="63">
        <f t="shared" si="3"/>
        <v>0</v>
      </c>
      <c r="K252" s="63">
        <f>SUM(K225:K251)</f>
        <v>228.80000000000004</v>
      </c>
    </row>
    <row r="253" spans="1:11" ht="15.75" customHeight="1" x14ac:dyDescent="0.2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</row>
  </sheetData>
  <mergeCells count="126">
    <mergeCell ref="A218:E218"/>
    <mergeCell ref="G218:J218"/>
    <mergeCell ref="A219:E219"/>
    <mergeCell ref="G219:J219"/>
    <mergeCell ref="A221:K221"/>
    <mergeCell ref="A222:K222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A50:K50"/>
    <mergeCell ref="E51:F51"/>
    <mergeCell ref="A80:A81"/>
    <mergeCell ref="B80:B81"/>
    <mergeCell ref="C80:C81"/>
    <mergeCell ref="D80:D81"/>
    <mergeCell ref="E80:E81"/>
    <mergeCell ref="A216:E216"/>
    <mergeCell ref="A217:C217"/>
    <mergeCell ref="G217:I217"/>
    <mergeCell ref="A93:K93"/>
    <mergeCell ref="E94:F94"/>
    <mergeCell ref="F80:F81"/>
    <mergeCell ref="G80:G81"/>
    <mergeCell ref="A87:E87"/>
    <mergeCell ref="A88:C88"/>
    <mergeCell ref="G88:I88"/>
    <mergeCell ref="A89:E89"/>
    <mergeCell ref="A90:E90"/>
    <mergeCell ref="J80:J81"/>
    <mergeCell ref="K80:K81"/>
    <mergeCell ref="G166:G167"/>
    <mergeCell ref="H166:H167"/>
    <mergeCell ref="G174:I174"/>
    <mergeCell ref="G175:J175"/>
    <mergeCell ref="G176:J176"/>
    <mergeCell ref="I166:I167"/>
    <mergeCell ref="J166:J167"/>
    <mergeCell ref="A135:K135"/>
    <mergeCell ref="A136:K136"/>
    <mergeCell ref="E137:F137"/>
    <mergeCell ref="A166:A167"/>
    <mergeCell ref="B166:B167"/>
    <mergeCell ref="C166:C167"/>
    <mergeCell ref="D166:D167"/>
    <mergeCell ref="K166:K167"/>
    <mergeCell ref="E166:E167"/>
    <mergeCell ref="F166:F167"/>
    <mergeCell ref="A173:E173"/>
    <mergeCell ref="A174:C174"/>
    <mergeCell ref="A175:E175"/>
    <mergeCell ref="A176:E176"/>
    <mergeCell ref="A178:K178"/>
    <mergeCell ref="F209:F210"/>
    <mergeCell ref="G209:G210"/>
    <mergeCell ref="H209:H210"/>
    <mergeCell ref="I209:I210"/>
    <mergeCell ref="J209:J210"/>
    <mergeCell ref="K209:K210"/>
    <mergeCell ref="A179:K179"/>
    <mergeCell ref="E180:F180"/>
    <mergeCell ref="A209:A210"/>
    <mergeCell ref="B209:B210"/>
    <mergeCell ref="C209:C210"/>
    <mergeCell ref="D209:D210"/>
    <mergeCell ref="E209:E210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G45:I45"/>
    <mergeCell ref="G46:J46"/>
    <mergeCell ref="G47:J47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4:E44"/>
    <mergeCell ref="A45:C45"/>
    <mergeCell ref="A46:E46"/>
    <mergeCell ref="A47:E47"/>
    <mergeCell ref="A49:K49"/>
    <mergeCell ref="H80:H81"/>
    <mergeCell ref="I80:I81"/>
    <mergeCell ref="A130:E130"/>
    <mergeCell ref="A131:C131"/>
    <mergeCell ref="G131:I131"/>
    <mergeCell ref="A132:E132"/>
    <mergeCell ref="G132:J132"/>
    <mergeCell ref="A133:E133"/>
    <mergeCell ref="G133:J133"/>
    <mergeCell ref="H123:H124"/>
    <mergeCell ref="I123:I124"/>
    <mergeCell ref="J123:J124"/>
    <mergeCell ref="K123:K124"/>
    <mergeCell ref="A123:A124"/>
    <mergeCell ref="B123:B124"/>
    <mergeCell ref="C123:C124"/>
    <mergeCell ref="D123:D124"/>
    <mergeCell ref="E123:E124"/>
    <mergeCell ref="F123:F124"/>
    <mergeCell ref="G123:G124"/>
    <mergeCell ref="G89:J89"/>
    <mergeCell ref="G90:J90"/>
    <mergeCell ref="A92:K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TUF</cp:lastModifiedBy>
  <dcterms:modified xsi:type="dcterms:W3CDTF">2026-06-12T16:22:04Z</dcterms:modified>
</cp:coreProperties>
</file>